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結論" sheetId="2" state="visible" r:id="rId2"/>
    <sheet xmlns:r="http://schemas.openxmlformats.org/officeDocument/2006/relationships" name="計測値" sheetId="3" state="visible" r:id="rId3"/>
    <sheet xmlns:r="http://schemas.openxmlformats.org/officeDocument/2006/relationships" name="たとえ" sheetId="4" state="visible" r:id="rId4"/>
    <sheet xmlns:r="http://schemas.openxmlformats.org/officeDocument/2006/relationships" name="100パーセントの意味" sheetId="5" state="visible" r:id="rId5"/>
    <sheet xmlns:r="http://schemas.openxmlformats.org/officeDocument/2006/relationships" name="歴史" sheetId="6" state="visible" r:id="rId6"/>
    <sheet xmlns:r="http://schemas.openxmlformats.org/officeDocument/2006/relationships" name="JVMと同時実行" sheetId="7" state="visible" r:id="rId7"/>
    <sheet xmlns:r="http://schemas.openxmlformats.org/officeDocument/2006/relationships" name="ITと本番" sheetId="8" state="visible" r:id="rId8"/>
    <sheet xmlns:r="http://schemas.openxmlformats.org/officeDocument/2006/relationships" name="監視" sheetId="9" state="visible" r:id="rId9"/>
    <sheet xmlns:r="http://schemas.openxmlformats.org/officeDocument/2006/relationships" name="対策" sheetId="10" state="visible" r:id="rId10"/>
    <sheet xmlns:r="http://schemas.openxmlformats.org/officeDocument/2006/relationships" name="次の計測" sheetId="11" state="visible" r:id="rId11"/>
    <sheet xmlns:r="http://schemas.openxmlformats.org/officeDocument/2006/relationships" name="用語" sheetId="12" state="visible" r:id="rId12"/>
    <sheet xmlns:r="http://schemas.openxmlformats.org/officeDocument/2006/relationships" name="計算" sheetId="13" state="visible" r:id="rId13"/>
    <sheet xmlns:r="http://schemas.openxmlformats.org/officeDocument/2006/relationships" name="出典と限界" sheetId="14" state="visible" r:id="rId14"/>
  </sheets>
  <definedNames>
    <definedName name="IT_VCPU">'計算'!$B$5</definedName>
    <definedName name="IT_LOAD1">'計算'!$B$6</definedName>
    <definedName name="IT_LOAD5">'計算'!$B$7</definedName>
    <definedName name="IT_LOAD15">'計算'!$B$8</definedName>
    <definedName name="IT_US">'計算'!$B$9</definedName>
    <definedName name="IT_SY">'計算'!$B$10</definedName>
    <definedName name="IT_NI">'計算'!$B$11</definedName>
    <definedName name="IT_WA">'計算'!$B$12</definedName>
    <definedName name="IT_HI">'計算'!$B$13</definedName>
    <definedName name="IT_SI">'計算'!$B$14</definedName>
    <definedName name="IT_ST">'計算'!$B$15</definedName>
    <definedName name="IT_JVM">'計算'!$B$16</definedName>
    <definedName name="IT_MULTI">'計算'!$B$17</definedName>
    <definedName name="IT_MEM_TOTAL">'計算'!$B$18</definedName>
    <definedName name="IT_MEM_FREE">'計算'!$B$19</definedName>
    <definedName name="IT_MEM_USED">'計算'!$B$20</definedName>
    <definedName name="IT_MEM_CACHE">'計算'!$B$21</definedName>
    <definedName name="IT_SWAP_TOTAL">'計算'!$B$22</definedName>
    <definedName name="IT_SWAP_USED">'計算'!$B$23</definedName>
    <definedName name="IT_AVAIL">'計算'!$B$24</definedName>
    <definedName name="IT_TASKS">'計算'!$B$25</definedName>
    <definedName name="IT_RUNNING">'計算'!$B$26</definedName>
    <definedName name="IT_SLEEP">'計算'!$B$27</definedName>
    <definedName name="IT_STOPPED">'計算'!$B$28</definedName>
    <definedName name="IT_ZOMBIE">'計算'!$B$29</definedName>
    <definedName name="PROD_VCPU">'計算'!$B$30</definedName>
    <definedName name="PROD_JVM">'計算'!$B$31</definedName>
    <definedName name="PROD_MULTI">'計算'!$B$32</definedName>
    <definedName name="IT_JOBS">'計算'!$B$33</definedName>
    <definedName name="PROD_JOBS">'計算'!$B$34</definedName>
    <definedName name="CPU_P1">'計算'!$B$37</definedName>
    <definedName name="CPU_P2">'計算'!$B$38</definedName>
    <definedName name="CPU_P3">'計算'!$B$39</definedName>
    <definedName name="CPU_P4">'計算'!$B$40</definedName>
    <definedName name="CPU_P5">'計算'!$B$41</definedName>
    <definedName name="CPU_P6">'計算'!$B$42</definedName>
    <definedName name="CPU_P7">'計算'!$B$43</definedName>
    <definedName name="CPU_SUM7">'計算'!$B$44</definedName>
    <definedName name="IDLE">'計算'!$B$47</definedName>
    <definedName name="BUSY_US_SY">'計算'!$B$48</definedName>
    <definedName name="LOAD1_PER">'計算'!$B$49</definedName>
    <definedName name="LOAD5_PER">'計算'!$B$50</definedName>
    <definedName name="LOAD15_PER">'計算'!$B$51</definedName>
    <definedName name="QUEUE1">'計算'!$B$52</definedName>
    <definedName name="OVERSUB">'計算'!$B$53</definedName>
    <definedName name="SEVEN_OF_BOX">'計算'!$B$54</definedName>
    <definedName name="AVAIL_RATIO">'計算'!$B$55</definedName>
    <definedName name="SWAP_RATIO">'計算'!$B$56</definedName>
    <definedName name="GC_IT">'計算'!$B$57</definedName>
    <definedName name="GC_PROD">'計算'!$B$58</definedName>
    <definedName name="GC_IT_ALL">'計算'!$B$59</definedName>
    <definedName name="GC_P32">'計算'!$B$60</definedName>
    <definedName name="GC_P58">'計算'!$B$61</definedName>
    <definedName name="MEM_GIB">'計算'!$B$62</definedName>
    <definedName name="AVAIL_GIB">'計算'!$B$63</definedName>
    <definedName name="SCEN_IT10">'計算'!$G$67</definedName>
    <definedName name="SCEN_IT8">'計算'!$G$68</definedName>
    <definedName name="SCEN_IT7">'計算'!$G$69</definedName>
    <definedName name="SCEN_IT80_M8">'計算'!$G$70</definedName>
    <definedName name="SCEN_IT80_M10">'計算'!$G$71</definedName>
    <definedName name="SCEN_P32">'計算'!$G$72</definedName>
    <definedName name="SCEN_P58">'計算'!$G$73</definedName>
    <definedName name="SCEN_P_MANY">'計算'!$G$74</definedName>
    <definedName name="_xlnm._FilterDatabase" localSheetId="0" hidden="1">'表紙'!$A$11:$F$17</definedName>
    <definedName name="_xlnm.Print_Titles" localSheetId="0">'表紙'!$1:$20</definedName>
    <definedName name="_xlnm.Print_Area" localSheetId="0">'表紙'!$A$1:$F$29</definedName>
    <definedName name="_xlnm._FilterDatabase" localSheetId="1" hidden="1">'結論'!$A$4:$E$12</definedName>
    <definedName name="_xlnm.Print_Titles" localSheetId="1">'結論'!$1:$4</definedName>
    <definedName name="_xlnm._FilterDatabase" localSheetId="2" hidden="1">'計測値'!$A$4:$F$19</definedName>
    <definedName name="_xlnm.Print_Titles" localSheetId="2">'計測値'!$1:$4</definedName>
    <definedName name="_xlnm._FilterDatabase" localSheetId="3" hidden="1">'たとえ'!$A$4:$E$18</definedName>
    <definedName name="_xlnm.Print_Titles" localSheetId="3">'たとえ'!$1:$4</definedName>
    <definedName name="_xlnm.Print_Area" localSheetId="3">'たとえ'!$A$1:$E$26</definedName>
    <definedName name="_xlnm._FilterDatabase" localSheetId="4" hidden="1">'100パーセントの意味'!$A$10:$F$17</definedName>
    <definedName name="_xlnm.Print_Titles" localSheetId="4">'100パーセントの意味'!$1:$4</definedName>
    <definedName name="_xlnm.Print_Area" localSheetId="4">'100パーセントの意味'!$A$1:$F$17</definedName>
    <definedName name="_xlnm._FilterDatabase" localSheetId="5" hidden="1">'歴史'!$A$4:$E$18</definedName>
    <definedName name="_xlnm.Print_Titles" localSheetId="5">'歴史'!$1:$4</definedName>
    <definedName name="_xlnm._FilterDatabase" localSheetId="6" hidden="1">'JVMと同時実行'!$A$4:$F$12</definedName>
    <definedName name="_xlnm.Print_Titles" localSheetId="6">'JVMと同時実行'!$1:$4</definedName>
    <definedName name="_xlnm.Print_Area" localSheetId="6">'JVMと同時実行'!$A$1:$F$25</definedName>
    <definedName name="_xlnm._FilterDatabase" localSheetId="7" hidden="1">'ITと本番'!$A$4:$E$16</definedName>
    <definedName name="_xlnm.Print_Titles" localSheetId="7">'ITと本番'!$1:$4</definedName>
    <definedName name="_xlnm._FilterDatabase" localSheetId="8" hidden="1">'監視'!$A$4:$E$15</definedName>
    <definedName name="_xlnm.Print_Titles" localSheetId="8">'監視'!$1:$4</definedName>
    <definedName name="_xlnm.Print_Area" localSheetId="8">'監視'!$A$1:$E$23</definedName>
    <definedName name="_xlnm._FilterDatabase" localSheetId="9" hidden="1">'対策'!$A$4:$F$12</definedName>
    <definedName name="_xlnm.Print_Titles" localSheetId="9">'対策'!$1:$4</definedName>
    <definedName name="_xlnm.Print_Area" localSheetId="9">'対策'!$A$1:$F$22</definedName>
    <definedName name="_xlnm._FilterDatabase" localSheetId="10" hidden="1">'次の計測'!$A$4:$E$16</definedName>
    <definedName name="_xlnm.Print_Titles" localSheetId="10">'次の計測'!$1:$4</definedName>
    <definedName name="_xlnm._FilterDatabase" localSheetId="11" hidden="1">'用語'!$A$4:$D$29</definedName>
    <definedName name="_xlnm.Print_Titles" localSheetId="11">'用語'!$1:$4</definedName>
    <definedName name="_xlnm._FilterDatabase" localSheetId="12" hidden="1">'計算'!$A$4:$E$34</definedName>
    <definedName name="_xlnm.Print_Titles" localSheetId="12">'計算'!$1:$4</definedName>
    <definedName name="_xlnm.Print_Area" localSheetId="12">'計算'!$A$1:$G$87</definedName>
    <definedName name="_xlnm._FilterDatabase" localSheetId="13" hidden="1">'出典と限界'!$A$4:$D$12</definedName>
    <definedName name="_xlnm.Print_Titles" localSheetId="13">'出典と限界'!$1:$4</definedName>
    <definedName name="_xlnm.Print_Area" localSheetId="13">'出典と限界'!$A$1:$D$16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0.0%"/>
    <numFmt numFmtId="167" formatCode="0.000%"/>
  </numFmts>
  <fonts count="12">
    <font>
      <name val="Meiryo UI"/>
      <family val="2"/>
      <color theme="1"/>
      <sz val="10"/>
    </font>
    <font>
      <name val="Meiryo UI"/>
      <b val="1"/>
      <color rgb="00FFFFFF"/>
      <sz val="20"/>
    </font>
    <font>
      <name val="Meiryo UI"/>
      <color rgb="00F2F2F2"/>
      <sz val="9"/>
    </font>
    <font>
      <name val="Meiryo UI"/>
      <b val="1"/>
      <color rgb="00FFFFFF"/>
      <sz val="11"/>
    </font>
    <font>
      <name val="Meiryo UI"/>
      <color rgb="001A1A1A"/>
      <sz val="12"/>
    </font>
    <font>
      <name val="Meiryo UI"/>
      <b val="1"/>
      <color rgb="00FFFFFF"/>
      <sz val="10"/>
    </font>
    <font>
      <name val="Meiryo UI"/>
      <b val="1"/>
      <color rgb="001A1A1A"/>
      <sz val="10"/>
    </font>
    <font>
      <name val="Meiryo UI"/>
      <color rgb="001A1A1A"/>
      <sz val="10"/>
    </font>
    <font>
      <name val="Meiryo UI"/>
      <b val="1"/>
      <color rgb="00FFFFFF"/>
      <sz val="18"/>
    </font>
    <font>
      <name val="Meiryo UI"/>
      <b val="1"/>
      <color rgb="001A1A1A"/>
      <sz val="12"/>
    </font>
    <font>
      <name val="Meiryo UI"/>
      <color rgb="001A1A1A"/>
      <sz val="9"/>
    </font>
    <font>
      <name val="Meiryo UI"/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4A4A4A"/>
      </patternFill>
    </fill>
    <fill>
      <patternFill patternType="solid">
        <fgColor rgb="003A3A3A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4F4F4"/>
      </patternFill>
    </fill>
    <fill>
      <patternFill patternType="solid">
        <fgColor rgb="00F7F7F7"/>
      </patternFill>
    </fill>
    <fill>
      <patternFill patternType="solid">
        <fgColor rgb="00D9D9D9"/>
      </patternFill>
    </fill>
    <fill>
      <patternFill patternType="solid">
        <fgColor rgb="002B2B2B"/>
      </patternFill>
    </fill>
    <fill>
      <patternFill patternType="solid">
        <fgColor rgb="00EFEFEF"/>
      </patternFill>
    </fill>
    <fill>
      <patternFill patternType="solid">
        <fgColor rgb="00E4E4E4"/>
      </patternFill>
    </fill>
    <fill>
      <patternFill patternType="solid">
        <fgColor rgb="00D0D0D0"/>
      </patternFill>
    </fill>
  </fills>
  <borders count="13">
    <border>
      <left/>
      <right/>
      <top/>
      <bottom/>
      <diagonal/>
    </border>
    <border/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medium">
        <color rgb="004A4A4A"/>
      </left>
      <right style="medium">
        <color rgb="004A4A4A"/>
      </right>
      <top style="medium">
        <color rgb="004A4A4A"/>
      </top>
      <bottom style="medium">
        <color rgb="004A4A4A"/>
      </bottom>
    </border>
    <border>
      <left/>
      <right/>
      <top style="thin">
        <color rgb="00C8C8C8"/>
      </top>
      <bottom/>
      <diagonal/>
    </border>
    <border>
      <left style="thin">
        <color rgb="00C8C8C8"/>
      </left>
      <right/>
      <top/>
      <bottom/>
      <diagonal/>
    </border>
    <border>
      <left/>
      <right style="thin">
        <color rgb="00C8C8C8"/>
      </right>
      <top style="thin">
        <color rgb="00C8C8C8"/>
      </top>
      <bottom/>
      <diagonal/>
    </border>
    <border>
      <left/>
      <right style="thin">
        <color rgb="00C8C8C8"/>
      </right>
      <top/>
      <bottom/>
      <diagonal/>
    </border>
    <border>
      <left style="thin">
        <color rgb="00C8C8C8"/>
      </left>
      <right/>
      <top/>
      <bottom style="thin">
        <color rgb="00C8C8C8"/>
      </bottom>
      <diagonal/>
    </border>
    <border>
      <left/>
      <right/>
      <top/>
      <bottom style="thin">
        <color rgb="00C8C8C8"/>
      </bottom>
      <diagonal/>
    </border>
    <border>
      <left/>
      <right style="thin">
        <color rgb="00C8C8C8"/>
      </right>
      <top/>
      <bottom style="thin">
        <color rgb="00C8C8C8"/>
      </bottom>
      <diagonal/>
    </border>
    <border>
      <left/>
      <right/>
      <top style="thin">
        <color rgb="00C8C8C8"/>
      </top>
      <bottom style="thin">
        <color rgb="00C8C8C8"/>
      </bottom>
      <diagonal/>
    </border>
    <border>
      <left/>
      <right style="thin">
        <color rgb="00C8C8C8"/>
      </right>
      <top style="thin">
        <color rgb="00C8C8C8"/>
      </top>
      <bottom style="thin">
        <color rgb="00C8C8C8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1" fillId="2" borderId="1" pivotButton="0" quotePrefix="0" xfId="0"/>
    <xf numFmtId="0" fontId="2" fillId="3" borderId="0" applyAlignment="1" pivotButton="0" quotePrefix="0" xfId="0">
      <alignment horizontal="left" vertical="center" wrapText="1" indent="1"/>
    </xf>
    <xf numFmtId="0" fontId="2" fillId="3" borderId="0" pivotButton="0" quotePrefix="0" xfId="0"/>
    <xf numFmtId="0" fontId="3" fillId="4" borderId="2" applyAlignment="1" pivotButton="0" quotePrefix="0" xfId="0">
      <alignment horizontal="left" vertical="center" wrapText="1" indent="1"/>
    </xf>
    <xf numFmtId="0" fontId="4" fillId="5" borderId="2" applyAlignment="1" pivotButton="0" quotePrefix="0" xfId="0">
      <alignment horizontal="left" vertical="center" wrapText="1" indent="1"/>
    </xf>
    <xf numFmtId="0" fontId="0" fillId="5" borderId="2" pivotButton="0" quotePrefix="0" xfId="0"/>
    <xf numFmtId="0" fontId="5" fillId="3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 indent="1"/>
    </xf>
    <xf numFmtId="0" fontId="7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 indent="1"/>
    </xf>
    <xf numFmtId="0" fontId="7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6" fillId="9" borderId="2" applyAlignment="1" pivotButton="0" quotePrefix="0" xfId="0">
      <alignment horizontal="left" vertical="center" wrapText="1" indent="1"/>
    </xf>
    <xf numFmtId="0" fontId="5" fillId="3" borderId="2" applyAlignment="1" pivotButton="0" quotePrefix="0" xfId="0">
      <alignment horizontal="left" vertical="center" wrapText="1" indent="1"/>
    </xf>
    <xf numFmtId="0" fontId="5" fillId="10" borderId="2" applyAlignment="1" pivotButton="0" quotePrefix="0" xfId="0">
      <alignment horizontal="left" vertical="center" wrapText="1" indent="1"/>
    </xf>
    <xf numFmtId="0" fontId="0" fillId="6" borderId="2" pivotButton="0" quotePrefix="0" xfId="0"/>
    <xf numFmtId="0" fontId="8" fillId="10" borderId="1" applyAlignment="1" pivotButton="0" quotePrefix="0" xfId="0">
      <alignment horizontal="left" vertical="center" wrapText="1" indent="1"/>
    </xf>
    <xf numFmtId="0" fontId="8" fillId="10" borderId="1" pivotButton="0" quotePrefix="0" xfId="0"/>
    <xf numFmtId="0" fontId="6" fillId="11" borderId="2" applyAlignment="1" pivotButton="0" quotePrefix="0" xfId="0">
      <alignment horizontal="left" vertical="center" wrapText="1" indent="1"/>
    </xf>
    <xf numFmtId="0" fontId="6" fillId="12" borderId="2" applyAlignment="1" pivotButton="0" quotePrefix="0" xfId="0">
      <alignment horizontal="left" vertical="center" wrapText="1" indent="1"/>
    </xf>
    <xf numFmtId="0" fontId="6" fillId="6" borderId="2" applyAlignment="1" pivotButton="0" quotePrefix="0" xfId="0">
      <alignment horizontal="left" vertical="center" wrapText="1" indent="1"/>
    </xf>
    <xf numFmtId="2" fontId="7" fillId="6" borderId="2" applyAlignment="1" pivotButton="0" quotePrefix="0" xfId="0">
      <alignment horizontal="left" vertical="center" wrapText="1" indent="1"/>
    </xf>
    <xf numFmtId="0" fontId="6" fillId="13" borderId="2" applyAlignment="1" pivotButton="0" quotePrefix="0" xfId="0">
      <alignment horizontal="left" vertical="center" wrapText="1" indent="1"/>
    </xf>
    <xf numFmtId="0" fontId="6" fillId="7" borderId="2" applyAlignment="1" pivotButton="0" quotePrefix="0" xfId="0">
      <alignment horizontal="left" vertical="center" wrapText="1" indent="1"/>
    </xf>
    <xf numFmtId="2" fontId="7" fillId="7" borderId="2" applyAlignment="1" pivotButton="0" quotePrefix="0" xfId="0">
      <alignment horizontal="left" vertical="center" wrapText="1" indent="1"/>
    </xf>
    <xf numFmtId="164" fontId="7" fillId="7" borderId="2" applyAlignment="1" pivotButton="0" quotePrefix="0" xfId="0">
      <alignment horizontal="left" vertical="center" wrapText="1" indent="1"/>
    </xf>
    <xf numFmtId="164" fontId="7" fillId="6" borderId="2" applyAlignment="1" pivotButton="0" quotePrefix="0" xfId="0">
      <alignment horizontal="left" vertical="center" wrapText="1" indent="1"/>
    </xf>
    <xf numFmtId="1" fontId="7" fillId="6" borderId="2" applyAlignment="1" pivotButton="0" quotePrefix="0" xfId="0">
      <alignment horizontal="left" vertical="center" wrapText="1" indent="1"/>
    </xf>
    <xf numFmtId="1" fontId="7" fillId="6" borderId="2" applyAlignment="1" pivotButton="0" quotePrefix="0" xfId="0">
      <alignment horizontal="center" vertical="center" wrapText="1"/>
    </xf>
    <xf numFmtId="1" fontId="7" fillId="7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 indent="1"/>
    </xf>
    <xf numFmtId="1" fontId="9" fillId="12" borderId="3" applyAlignment="1" pivotButton="0" quotePrefix="0" xfId="0">
      <alignment horizontal="center" vertical="center" wrapText="1"/>
    </xf>
    <xf numFmtId="2" fontId="9" fillId="12" borderId="3" applyAlignment="1" pivotButton="0" quotePrefix="0" xfId="0">
      <alignment horizontal="center" vertical="center" wrapText="1"/>
    </xf>
    <xf numFmtId="164" fontId="9" fillId="12" borderId="3" applyAlignment="1" pivotButton="0" quotePrefix="0" xfId="0">
      <alignment horizontal="center" vertical="center" wrapText="1"/>
    </xf>
    <xf numFmtId="165" fontId="9" fillId="12" borderId="3" applyAlignment="1" pivotButton="0" quotePrefix="0" xfId="0">
      <alignment horizontal="center" vertical="center" wrapText="1"/>
    </xf>
    <xf numFmtId="3" fontId="9" fillId="12" borderId="3" applyAlignment="1" pivotButton="0" quotePrefix="0" xfId="0">
      <alignment horizontal="center" vertical="center" wrapText="1"/>
    </xf>
    <xf numFmtId="164" fontId="6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164" fontId="7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 indent="1"/>
    </xf>
    <xf numFmtId="164" fontId="7" fillId="6" borderId="2" applyAlignment="1" pivotButton="0" quotePrefix="0" xfId="0">
      <alignment horizontal="center" vertical="center" wrapText="1"/>
    </xf>
    <xf numFmtId="2" fontId="7" fillId="8" borderId="2" applyAlignment="1" pivotButton="0" quotePrefix="0" xfId="0">
      <alignment horizontal="center" vertical="center" wrapText="1"/>
    </xf>
    <xf numFmtId="2" fontId="7" fillId="6" borderId="2" applyAlignment="1" pivotButton="0" quotePrefix="0" xfId="0">
      <alignment horizontal="center" vertical="center" wrapText="1"/>
    </xf>
    <xf numFmtId="166" fontId="7" fillId="8" borderId="2" applyAlignment="1" pivotButton="0" quotePrefix="0" xfId="0">
      <alignment horizontal="center" vertical="center" wrapText="1"/>
    </xf>
    <xf numFmtId="167" fontId="7" fillId="6" borderId="2" applyAlignment="1" pivotButton="0" quotePrefix="0" xfId="0">
      <alignment horizontal="center" vertical="center" wrapText="1"/>
    </xf>
    <xf numFmtId="1" fontId="7" fillId="8" borderId="2" applyAlignment="1" pivotButton="0" quotePrefix="0" xfId="0">
      <alignment horizontal="center" vertical="center" wrapText="1"/>
    </xf>
    <xf numFmtId="3" fontId="7" fillId="8" borderId="2" applyAlignment="1" pivotButton="0" quotePrefix="0" xfId="0">
      <alignment horizontal="center" vertical="center" wrapText="1"/>
    </xf>
    <xf numFmtId="3" fontId="7" fillId="6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2" fontId="7" fillId="7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 indent="1"/>
    </xf>
    <xf numFmtId="0" fontId="7" fillId="6" borderId="2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12" pivotButton="0" quotePrefix="0" xfId="0"/>
    <xf numFmtId="0" fontId="0" fillId="0" borderId="0" applyAlignment="1" pivotButton="0" quotePrefix="0" xfId="0">
      <alignment horizontal="left" vertical="center" indent="1"/>
    </xf>
    <xf numFmtId="0" fontId="8" fillId="2" borderId="1" applyAlignment="1" pivotButton="0" quotePrefix="0" xfId="0">
      <alignment horizontal="left" vertical="center" wrapText="1" indent="1"/>
    </xf>
    <xf numFmtId="0" fontId="8" fillId="2" borderId="1" pivotButton="0" quotePrefix="0" xfId="0"/>
    <xf numFmtId="0" fontId="11" fillId="10" borderId="2" applyAlignment="1" pivotButton="0" quotePrefix="0" xfId="0">
      <alignment horizontal="left" vertical="center" wrapText="1" indent="1"/>
    </xf>
    <xf numFmtId="0" fontId="11" fillId="10" borderId="2" pivotButton="0" quotePrefix="0" xfId="0"/>
    <xf numFmtId="0" fontId="0" fillId="1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プロセス別 %CPU（1コア＝100）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200" b="1">
              <a:latin typeface="Meiryo UI"/>
              <a:ea typeface="Meiryo UI"/>
            </a:defRPr>
          </a:pPr>
          <a:r>
            <a:t/>
          </a:r>
          <a:endParaRPr sz="1200" b="1">
            <a:latin typeface="Meiryo UI"/>
            <a:ea typeface="Meiryo UI"/>
          </a:endParaRPr>
        </a:p>
      </txPr>
    </title>
    <plotArea>
      <barChart>
        <barDir val="col"/>
        <grouping val="clustered"/>
        <ser>
          <idx val="0"/>
          <order val="0"/>
          <tx>
            <strRef>
              <f>'計算'!B36</f>
            </strRef>
          </tx>
          <spPr>
            <a:solidFill xmlns:a="http://schemas.openxmlformats.org/drawingml/2006/main">
              <a:srgbClr val="4A4A4A"/>
            </a:solidFill>
            <a:ln xmlns:a="http://schemas.openxmlformats.org/drawingml/2006/main">
              <a:solidFill>
                <a:srgbClr val="1A1A1A"/>
              </a:solidFill>
              <a:prstDash val="solid"/>
            </a:ln>
          </spPr>
          <cat>
            <numRef>
              <f>'計算'!$A$37:$A$43</f>
            </numRef>
          </cat>
          <val>
            <numRef>
              <f>'計算'!$B$37:$B$43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Meiryo UI"/>
                <a:ea typeface="Meiryo UI"/>
              </a:defRPr>
            </a:pPr>
            <a:r>
              <a:t/>
            </a:r>
            <a:endParaRPr sz="900" b="0">
              <a:latin typeface="Meiryo UI"/>
              <a:ea typeface="Meiryo UI"/>
            </a:endParaRPr>
          </a:p>
        </txPr>
        <crossAx val="100"/>
        <lblOffset val="100"/>
      </catAx>
      <valAx>
        <axId val="100"/>
        <scaling>
          <orientation val="minMax"/>
          <max val="2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%CPU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Meiryo UI"/>
                <a:ea typeface="Meiryo UI"/>
              </a:defRPr>
            </a:pPr>
            <a:r>
              <a:t/>
            </a:r>
            <a:endParaRPr sz="900" b="0">
              <a:latin typeface="Meiryo UI"/>
              <a:ea typeface="Meiryo UI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solidFill>
        <a:srgbClr val="1A1A1A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88</row>
      <rowOff>0</rowOff>
    </from>
    <ext cx="64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1A1A"/>
    <outlinePr summaryBelow="1" summaryRight="1"/>
    <pageSetUpPr fitToPage="1"/>
  </sheetPr>
  <dimension ref="A1:F29"/>
  <sheetViews>
    <sheetView showGridLines="0" view="normal" zoomScale="100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28" customWidth="1" min="1" max="1"/>
    <col width="32" customWidth="1" min="2" max="2"/>
    <col width="38" customWidth="1" min="3" max="3"/>
    <col width="38" customWidth="1" min="4" max="4"/>
    <col width="36" customWidth="1" min="5" max="5"/>
    <col width="36" customWidth="1" min="6" max="6"/>
  </cols>
  <sheetData>
    <row r="1" ht="42" customHeight="1">
      <c r="A1" s="1" t="inlineStr">
        <is>
          <t>契約管理バッチ　テーブルダンプ時のCPU高負荷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インフラ視点の意見　｜　2026-10-10　｜　IT環境のtop 1時点と、2026年10月時点の公開仕様に基づく</t>
        </is>
      </c>
      <c r="B2" s="4" t="n"/>
      <c r="C2" s="4" t="n"/>
      <c r="D2" s="4" t="n"/>
      <c r="E2" s="4" t="n"/>
      <c r="F2" s="4" t="n"/>
    </row>
    <row r="3" ht="10" customHeight="1"/>
    <row r="4" ht="27" customHeight="1">
      <c r="A4" s="5" t="inlineStr">
        <is>
          <t>30秒で伝える結論</t>
        </is>
      </c>
      <c r="B4" s="5" t="n"/>
      <c r="C4" s="5" t="n"/>
      <c r="D4" s="5" t="n"/>
      <c r="E4" s="5" t="n"/>
      <c r="F4" s="5" t="n"/>
    </row>
    <row r="5" ht="36" customHeight="1">
      <c r="A5" s="6" t="inlineStr">
        <is>
          <t>今回のCPUクリティカルは、故障ではなく、8台のレジに計算役を10人入れたことで、数分間レジが満杯になった状態です。
メモリ不足でも、ディスク待ちでも、隣の利用者にCPUを取り上げられた状態でもありません。スワップはほぼ使っていません。
全体のCPUは約99%で、100%が満点の物差しでは「超え」ていません。100%を超えて見えるのは、1本のJVMを1コア＝100%で数えた行（125%など）です。
処理が決められた時間に終わっているなら、スペック増強は不要です。警報だけが、バッチサーバの役割に対して敏感です。鳴ったこと自体を容量不足の証拠にしないでください。</t>
        </is>
      </c>
      <c r="B5" s="7" t="n"/>
      <c r="C5" s="7" t="n"/>
      <c r="D5" s="7" t="n"/>
      <c r="E5" s="7" t="n"/>
      <c r="F5" s="7" t="n"/>
    </row>
    <row r="6" ht="36" customHeight="1"/>
    <row r="7" ht="36" customHeight="1"/>
    <row r="8" ht="36" customHeight="1"/>
    <row r="9" ht="10" customHeight="1"/>
    <row r="10" ht="27" customHeight="1">
      <c r="A10" s="5" t="inlineStr">
        <is>
          <t>会議での読み順</t>
        </is>
      </c>
      <c r="B10" s="5" t="n"/>
      <c r="C10" s="5" t="n"/>
      <c r="D10" s="5" t="n"/>
      <c r="E10" s="5" t="n"/>
      <c r="F10" s="5" t="n"/>
    </row>
    <row r="11" ht="30" customHeight="1">
      <c r="A11" s="8" t="inlineStr">
        <is>
          <t>順</t>
        </is>
      </c>
      <c r="B11" s="8" t="inlineStr">
        <is>
          <t>シート</t>
        </is>
      </c>
      <c r="C11" s="8" t="inlineStr">
        <is>
          <t>見る人</t>
        </is>
      </c>
      <c r="D11" s="8" t="inlineStr">
        <is>
          <t>ここで決めること</t>
        </is>
      </c>
      <c r="E11" s="8" t="inlineStr">
        <is>
          <t>所要</t>
        </is>
      </c>
      <c r="F11" s="8" t="inlineStr">
        <is>
          <t>補足</t>
        </is>
      </c>
    </row>
    <row r="12" ht="44" customHeight="1">
      <c r="A12" s="9" t="inlineStr">
        <is>
          <t>1</t>
        </is>
      </c>
      <c r="B12" s="10" t="inlineStr">
        <is>
          <t>結論</t>
        </is>
      </c>
      <c r="C12" s="10" t="inlineStr">
        <is>
          <t>全員</t>
        </is>
      </c>
      <c r="D12" s="10" t="inlineStr">
        <is>
          <t>増強するか、警報を変えるか、本数を実測するか</t>
        </is>
      </c>
      <c r="E12" s="11" t="inlineStr">
        <is>
          <t>3分</t>
        </is>
      </c>
      <c r="F12" s="10" t="inlineStr">
        <is>
          <t>意見の本体</t>
        </is>
      </c>
    </row>
    <row r="13" ht="27" customHeight="1">
      <c r="A13" s="12" t="inlineStr">
        <is>
          <t>2</t>
        </is>
      </c>
      <c r="B13" s="13" t="inlineStr">
        <is>
          <t>計測値</t>
        </is>
      </c>
      <c r="C13" s="13" t="inlineStr">
        <is>
          <t>インフラ</t>
        </is>
      </c>
      <c r="D13" s="13" t="inlineStr">
        <is>
          <t>提示されたtopを1行ずつ白黒つける</t>
        </is>
      </c>
      <c r="E13" s="14" t="inlineStr">
        <is>
          <t>5分</t>
        </is>
      </c>
      <c r="F13" s="13" t="inlineStr">
        <is>
          <t>計算シートと連動</t>
        </is>
      </c>
    </row>
    <row r="14" ht="27" customHeight="1">
      <c r="A14" s="9" t="inlineStr">
        <is>
          <t>3</t>
        </is>
      </c>
      <c r="B14" s="10" t="inlineStr">
        <is>
          <t>100%の意味</t>
        </is>
      </c>
      <c r="C14" s="10" t="inlineStr">
        <is>
          <t>全員</t>
        </is>
      </c>
      <c r="D14" s="10" t="inlineStr">
        <is>
          <t>どの物差しで100%と言っているかを揃える</t>
        </is>
      </c>
      <c r="E14" s="11" t="inlineStr">
        <is>
          <t>4分</t>
        </is>
      </c>
      <c r="F14" s="10" t="inlineStr">
        <is>
          <t>超える／超えないが分かれる</t>
        </is>
      </c>
    </row>
    <row r="15" ht="27" customHeight="1">
      <c r="A15" s="12" t="inlineStr">
        <is>
          <t>4</t>
        </is>
      </c>
      <c r="B15" s="13" t="inlineStr">
        <is>
          <t>JVMと同時実行</t>
        </is>
      </c>
      <c r="C15" s="13" t="inlineStr">
        <is>
          <t>基盤と開発</t>
        </is>
      </c>
      <c r="D15" s="13" t="inlineStr">
        <is>
          <t>10を8にするか、本番32マルチでよいか</t>
        </is>
      </c>
      <c r="E15" s="14" t="inlineStr">
        <is>
          <t>6分</t>
        </is>
      </c>
      <c r="F15" s="13" t="inlineStr">
        <is>
          <t>端数の算数がある</t>
        </is>
      </c>
    </row>
    <row r="16" ht="44" customHeight="1">
      <c r="A16" s="9" t="inlineStr">
        <is>
          <t>5</t>
        </is>
      </c>
      <c r="B16" s="10" t="inlineStr">
        <is>
          <t>監視</t>
        </is>
      </c>
      <c r="C16" s="10" t="inlineStr">
        <is>
          <t>インフラ</t>
        </is>
      </c>
      <c r="D16" s="10" t="inlineStr">
        <is>
          <t>Warning/Criticalをバッチ向けに付け替える</t>
        </is>
      </c>
      <c r="E16" s="11" t="inlineStr">
        <is>
          <t>4分</t>
        </is>
      </c>
      <c r="F16" s="10" t="inlineStr">
        <is>
          <t>現行の数値は未確認</t>
        </is>
      </c>
    </row>
    <row r="17" ht="27" customHeight="1">
      <c r="A17" s="12" t="inlineStr">
        <is>
          <t>6</t>
        </is>
      </c>
      <c r="B17" s="13" t="inlineStr">
        <is>
          <t>対策</t>
        </is>
      </c>
      <c r="C17" s="13" t="inlineStr">
        <is>
          <t>全員</t>
        </is>
      </c>
      <c r="D17" s="13" t="inlineStr">
        <is>
          <t>今週やることと、やらないことを分ける</t>
        </is>
      </c>
      <c r="E17" s="14" t="inlineStr">
        <is>
          <t>3分</t>
        </is>
      </c>
      <c r="F17" s="13" t="inlineStr">
        <is>
          <t>優先順位つき</t>
        </is>
      </c>
    </row>
    <row r="18" ht="10" customHeight="1"/>
    <row r="19" ht="27" customHeight="1">
      <c r="A19" s="5" t="inlineStr">
        <is>
          <t>色の約束（モノトーン）</t>
        </is>
      </c>
      <c r="B19" s="5" t="n"/>
      <c r="C19" s="5" t="n"/>
      <c r="D19" s="5" t="n"/>
      <c r="E19" s="5" t="n"/>
      <c r="F19" s="5" t="n"/>
    </row>
    <row r="20" ht="30" customHeight="1">
      <c r="A20" s="8" t="inlineStr">
        <is>
          <t>塗り</t>
        </is>
      </c>
      <c r="B20" s="8" t="inlineStr">
        <is>
          <t>意味</t>
        </is>
      </c>
      <c r="C20" s="8" t="inlineStr">
        <is>
          <t>使いどころ</t>
        </is>
      </c>
      <c r="D20" s="8" t="inlineStr">
        <is>
          <t>やってはいけない読み</t>
        </is>
      </c>
      <c r="E20" s="8" t="inlineStr"/>
      <c r="F20" s="8" t="inlineStr"/>
    </row>
    <row r="21" ht="27" customHeight="1">
      <c r="A21" s="15" t="inlineStr">
        <is>
          <t>ほぼ白</t>
        </is>
      </c>
      <c r="B21" s="10" t="inlineStr">
        <is>
          <t>想定範囲。このままでよい</t>
        </is>
      </c>
      <c r="C21" s="10" t="inlineStr">
        <is>
          <t>CPUの短時間の使い切り、メモリ余裕</t>
        </is>
      </c>
      <c r="D21" s="10" t="inlineStr">
        <is>
          <t>正常を、障害と読まない</t>
        </is>
      </c>
      <c r="E21" s="10" t="inlineStr"/>
      <c r="F21" s="10" t="inlineStr"/>
    </row>
    <row r="22" ht="27" customHeight="1">
      <c r="A22" s="16" t="inlineStr">
        <is>
          <t>薄灰</t>
        </is>
      </c>
      <c r="B22" s="13" t="inlineStr">
        <is>
          <t>条件つき、または実測して決める</t>
        </is>
      </c>
      <c r="C22" s="13" t="inlineStr">
        <is>
          <t>マルチを8にするか10のままか</t>
        </is>
      </c>
      <c r="D22" s="13" t="inlineStr">
        <is>
          <t>机上の好みで本数を固定しない</t>
        </is>
      </c>
      <c r="E22" s="13" t="inlineStr"/>
      <c r="F22" s="13" t="inlineStr"/>
    </row>
    <row r="23" ht="44" customHeight="1">
      <c r="A23" s="17" t="inlineStr">
        <is>
          <t>濃灰に白文字</t>
        </is>
      </c>
      <c r="B23" s="10" t="inlineStr">
        <is>
          <t>見直し。ただし増強とは限らない</t>
        </is>
      </c>
      <c r="C23" s="10" t="inlineStr">
        <is>
          <t>警報の期間と項目</t>
        </is>
      </c>
      <c r="D23" s="10" t="inlineStr">
        <is>
          <t>見直し＝すぐインスタンスを大きくする、ではない</t>
        </is>
      </c>
      <c r="E23" s="10" t="inlineStr"/>
      <c r="F23" s="10" t="inlineStr"/>
    </row>
    <row r="24" ht="27" customHeight="1">
      <c r="A24" s="18" t="inlineStr">
        <is>
          <t>黒に近い灰</t>
        </is>
      </c>
      <c r="B24" s="13" t="inlineStr">
        <is>
          <t>未確認。数値を断定しない</t>
        </is>
      </c>
      <c r="C24" s="13" t="inlineStr">
        <is>
          <t>現行のWarning/Criticalのパーセント</t>
        </is>
      </c>
      <c r="D24" s="13" t="inlineStr">
        <is>
          <t>想像の閾値を議事録に書かない</t>
        </is>
      </c>
      <c r="E24" s="13" t="inlineStr"/>
      <c r="F24" s="13" t="inlineStr"/>
    </row>
    <row r="25" ht="10" customHeight="1"/>
    <row r="26" ht="27" customHeight="1">
      <c r="A26" s="5" t="inlineStr">
        <is>
          <t>この資料が参照していないもの</t>
        </is>
      </c>
      <c r="B26" s="5" t="n"/>
      <c r="C26" s="5" t="n"/>
      <c r="D26" s="5" t="n"/>
      <c r="E26" s="5" t="n"/>
      <c r="F26" s="5" t="n"/>
    </row>
    <row r="27" ht="36" customHeight="1">
      <c r="A27" s="10" t="inlineStr">
        <is>
          <t>対象AWSアカウントのCloudWatchアラーム、JP1のジョブ定義、インスタンスタイプ名、JDKのバージョン、GCログ、ダンプの所要時間、DB側のCPUは、この資料の入力に含まれていません。
EC2に最初から入っているWarning/Criticalの固定パーセントは存在しません。本文で「現行閾値は未確認」と書いた箇所は、確認できるまで空欄のまま扱ってください。
計算シートの灰色の太枠が入力欄です。vCPUやマルチ数を変えると、比率と終了時間の指数が再計算されます。文章の判定は、提示された今回の値に対する意見です。</t>
        </is>
      </c>
      <c r="B27" s="19" t="n"/>
      <c r="C27" s="19" t="n"/>
      <c r="D27" s="19" t="n"/>
      <c r="E27" s="19" t="n"/>
      <c r="F27" s="19" t="n"/>
    </row>
    <row r="28" ht="36" customHeight="1"/>
    <row r="29" ht="36" customHeight="1"/>
  </sheetData>
  <autoFilter ref="A11:F17"/>
  <mergeCells count="8">
    <mergeCell ref="A2:F2"/>
    <mergeCell ref="A10:F10"/>
    <mergeCell ref="A5:F8"/>
    <mergeCell ref="A27:F29"/>
    <mergeCell ref="A19:F19"/>
    <mergeCell ref="A1:F1"/>
    <mergeCell ref="A4:F4"/>
    <mergeCell ref="A26:F26"/>
  </mergeCells>
  <printOptions horizontalCentered="1"/>
  <pageMargins left="0.45" right="0.45" top="0.7" bottom="0.55" header="0.28" footer="0.28"/>
  <pageSetup orientation="landscape" paperSize="8" fitToHeight="1" fitToWidth="1" horizontalDpi="300" verticalDpi="300"/>
  <headerFooter>
    <oddHeader>&amp;L&amp;"Meiryo UI"&amp;"Meiryo UI,Regular"&amp;9契約管理バッチサーバ　CPU高負荷の見方&amp;R&amp;"Meiryo UI,Regular"&amp;9インフラ視点　2026-10-10</oddHeader>
    <oddFooter>&amp;L&amp;"Meiryo UI,Regular"&amp;8提示されたtopの1時点。アラーム定義とインスタンスタイプ名は未参照。&amp;R&amp;"Meiryo UI,Regular"&amp;8&amp;P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E12"/>
  <sheetViews>
    <sheetView showGridLines="0" view="normal" zoomScale="10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6" customWidth="1" min="1" max="1"/>
    <col width="32" customWidth="1" min="2" max="2"/>
    <col width="62" customWidth="1" min="3" max="3"/>
    <col width="28" customWidth="1" min="4" max="4"/>
    <col width="42" customWidth="1" min="5" max="5"/>
  </cols>
  <sheetData>
    <row r="1" ht="34" customHeight="1">
      <c r="A1" s="20" t="inlineStr">
        <is>
          <t>結論　インフラとしての意見</t>
        </is>
      </c>
      <c r="B1" s="21" t="n"/>
      <c r="C1" s="21" t="n"/>
      <c r="D1" s="21" t="n"/>
      <c r="E1" s="21" t="n"/>
    </row>
    <row r="2" ht="28" customHeight="1">
      <c r="A2" s="3" t="inlineStr">
        <is>
          <t>処理時間の窓に収まっている前提では、一時的高負荷として扱ってよい。検討すべきはスペック増強より、警報の設計と同時実行数の実測。</t>
        </is>
      </c>
      <c r="B2" s="4" t="n"/>
      <c r="C2" s="4" t="n"/>
      <c r="D2" s="4" t="n"/>
      <c r="E2" s="4" t="n"/>
    </row>
    <row r="3"/>
    <row r="4" ht="30" customHeight="1">
      <c r="A4" s="8" t="inlineStr">
        <is>
          <t>No</t>
        </is>
      </c>
      <c r="B4" s="8" t="inlineStr">
        <is>
          <t>質問</t>
        </is>
      </c>
      <c r="C4" s="8" t="inlineStr">
        <is>
          <t>結論</t>
        </is>
      </c>
      <c r="D4" s="8" t="inlineStr">
        <is>
          <t>判断</t>
        </is>
      </c>
      <c r="E4" s="8" t="inlineStr">
        <is>
          <t>いまやること</t>
        </is>
      </c>
    </row>
    <row r="5" ht="112" customHeight="1">
      <c r="A5" s="9" t="inlineStr">
        <is>
          <t>1</t>
        </is>
      </c>
      <c r="B5" s="10" t="inlineStr">
        <is>
          <t>テーブルダンプでCPUが100%を超えることは、一般に起こるか</t>
        </is>
      </c>
      <c r="C5" s="10" t="inlineStr">
        <is>
          <t>起こります。ただし物差しが3つあります。マシン全体（CloudWatchやtopの合計行）は100%が満点で、今回は約99%です。超えてはいません。プロセス行（topの%CPU）は1コアを100%と数えるので、125%のように100%を超えます。これは複数コア時代の普通の表示です。コアを足し算する道具だと800%が満点になり、100%超えは「1コア分を少し超えた」程度の意味に変わります。</t>
        </is>
      </c>
      <c r="D5" s="22" t="inlineStr">
        <is>
          <t>想定範囲</t>
        </is>
      </c>
      <c r="E5" s="10" t="inlineStr">
        <is>
          <t>監視画面のCPUが、全体の0〜100%なのか、1コア＝100%なのか、コア合計なのかを、画面の単位表示で確認する。</t>
        </is>
      </c>
    </row>
    <row r="6" ht="95" customHeight="1">
      <c r="A6" s="12" t="inlineStr">
        <is>
          <t>2</t>
        </is>
      </c>
      <c r="B6" s="13" t="inlineStr">
        <is>
          <t>今回のクリティカルは、一時的な高負荷としてよいか</t>
        </is>
      </c>
      <c r="C6" s="13" t="inlineStr">
        <is>
          <t>よい、と判断します。1分のロードアベレージ17.59は、8コアに対して約2.2倍の行列です。しかし5分は5.03（コアあたり0.63）、15分は1.99（コアあたり0.25）で、長い渋滞ではありません。直前まで空いていて、ダンプの開始直後に満杯になった形です。ユーザCPU 95.9%、I/O待ち 0%、steal 0%、スワップ使用 0.2MiBです。</t>
        </is>
      </c>
      <c r="D6" s="22" t="inlineStr">
        <is>
          <t>想定範囲</t>
        </is>
      </c>
      <c r="E6" s="13" t="inlineStr">
        <is>
          <t>この1回を障害票の「容量不足」にしない。処理が時間内に終わったかを先に確認する。</t>
        </is>
      </c>
    </row>
    <row r="7" ht="129" customHeight="1">
      <c r="A7" s="9" t="inlineStr">
        <is>
          <t>3</t>
        </is>
      </c>
      <c r="B7" s="10" t="inlineStr">
        <is>
          <t>EC2のWarning/Criticalは、現在どういう設定か</t>
        </is>
      </c>
      <c r="C7" s="10" t="inlineStr">
        <is>
          <t>この資料では断定できません。アカウントのアラームを見ていません。EC2とCloudWatchに、出荷時のWarning/Criticalパーセントはありません。CloudWatchの状態名はOK、ALARM、INSUFFICIENT_DATAです。WarningとCriticalの二段は、JP1/PFM、Hinemos、Zabbix、Datadogなどの呼び方です。AWS公式手順の例は「CPUUtilizationが70%を、5分間隔で2回続いたら」ですが、これは作り方の例であり、バッチサーバの推奨値ではありません。</t>
        </is>
      </c>
      <c r="D7" s="18" t="inlineStr">
        <is>
          <t>未確認</t>
        </is>
      </c>
      <c r="E7" s="10" t="inlineStr">
        <is>
          <t>監視コンソールで、CPUアラームのメトリクス名、統計、期間、評価データポイント数、閾値、対象インスタンスを控える。想像値を設計書に書かない。</t>
        </is>
      </c>
    </row>
    <row r="8" ht="112" customHeight="1">
      <c r="A8" s="12" t="inlineStr">
        <is>
          <t>4</t>
        </is>
      </c>
      <c r="B8" s="13" t="inlineStr">
        <is>
          <t>ダンプを続ける前提で、インスタンスサイズは妥当か</t>
        </is>
      </c>
      <c r="C8" s="13" t="inlineStr">
        <is>
          <t>メモリは妥当です。見えるメモリ約15.0GiB、利用可能約9.6GiB、スワップはほぼ空です。8vCPUと約16GiBの組み合わせは、コンピュート最適化の2xlarge（c5、c6i、c7i、c8iなどの2xlarge）の形と一致します。バースト型（T系）のクレジット切れではありません。stealが0なので、契約したCPUは受け取っています。CPUを数分使い切るのは、バッチとしては支払った分を使っている状態です。</t>
        </is>
      </c>
      <c r="D8" s="22" t="inlineStr">
        <is>
          <t>妥当</t>
        </is>
      </c>
      <c r="E8" s="13" t="inlineStr">
        <is>
          <t>コンソールでインスタンスタイプ名だけ確定する。処理時間が窓を超えるときだけ、vCPUを増やし、マルチも同じ割合で増やす。</t>
        </is>
      </c>
    </row>
    <row r="9" ht="95" customHeight="1">
      <c r="A9" s="9" t="inlineStr">
        <is>
          <t>5</t>
        </is>
      </c>
      <c r="B9" s="10" t="inlineStr">
        <is>
          <t>監視閾値は、継続運用して妥当か</t>
        </is>
      </c>
      <c r="C9" s="10" t="inlineStr">
        <is>
          <t>数分の使い切りでクリティカルが鳴る設定なら、オンラインサーバ向けの短い判定をバッチに流用しています。役割に対して敏感すぎます。70%や90%という数字自体が悪いのではありません。期間と、鳴ったあとの行動がバッチに合っていません。CPU 100%は、この処理では「異常のサイン」ではなく「仕事中のサイン」です。</t>
        </is>
      </c>
      <c r="D9" s="17" t="inlineStr">
        <is>
          <t>見直し</t>
        </is>
      </c>
      <c r="E9" s="10" t="inlineStr">
        <is>
          <t>クリティカルを、15分以上続く飽和、処理時間の超過、steal、スワップ増加へ移す。ダンプ中のCPU 90%単発では電話を鳴らさない。</t>
        </is>
      </c>
    </row>
    <row r="10" ht="112" customHeight="1">
      <c r="A10" s="12" t="inlineStr">
        <is>
          <t>6</t>
        </is>
      </c>
      <c r="B10" s="13" t="inlineStr">
        <is>
          <t>JVM数10、vCPUが8なら、8を指定すべきか</t>
        </is>
      </c>
      <c r="C10" s="13" t="inlineStr">
        <is>
          <t>ジョブが何十本も続くなら、同時実行は8が基準です。今回のように10本前後を一度に流すだけなら、10のままの方が早く終わることがあります。8人ずつだと、最初の8本が終わったあと残り2本だけが動き、6コアが空きます。10人同時なら少し混みますが、全員が約1.25倍の時間で帰ります。いずれもダンプ中の全体CPUは100%近くなります。8にしてもクリティカルは鳴り得ます。</t>
        </is>
      </c>
      <c r="D10" s="16" t="inlineStr">
        <is>
          <t>実測</t>
        </is>
      </c>
      <c r="E10" s="13" t="inlineStr">
        <is>
          <t>同じダンプでマルチ8と10の終了時刻を1回ずつ測る。CPU%を下げることだけを目的に8へ変えない。</t>
        </is>
      </c>
    </row>
    <row r="11" ht="112" customHeight="1">
      <c r="A11" s="9" t="inlineStr">
        <is>
          <t>7</t>
        </is>
      </c>
      <c r="B11" s="10" t="inlineStr">
        <is>
          <t>本番は58JVM、32vCPU。32マルチなら問題ないか</t>
        </is>
      </c>
      <c r="C11" s="10" t="inlineStr">
        <is>
          <t>同時実行32は、32vCPUに対する基本の合わせ方として妥当です。その状態でもダンプ中のCPUは100%近くなり、ITと同じ警報が鳴ります。それは故障ではありません。58を同時に動かすと約1.8倍の並びになり、各JVMが32コア全部を見てGCスレッドを約23本ずつ持ちます。理論上の終了は少し短い可能性もありますが、メモリとGCの代償が大きいです。本番メモリは未提示です。</t>
        </is>
      </c>
      <c r="D11" s="23" t="inlineStr">
        <is>
          <t>条件つき</t>
        </is>
      </c>
      <c r="E11" s="10" t="inlineStr">
        <is>
          <t>58が「同時実行」なのか「定義上の上限」なのかをJP1の実行履歴で分ける。同時は32を基本にし、空きメモリを見てから上げる。</t>
        </is>
      </c>
    </row>
    <row r="12" ht="95" customHeight="1">
      <c r="A12" s="12" t="inlineStr">
        <is>
          <t>8</t>
        </is>
      </c>
      <c r="B12" s="13" t="inlineStr">
        <is>
          <t>スペック増強は必要か</t>
        </is>
      </c>
      <c r="C12" s="13" t="inlineStr">
        <is>
          <t>この1枚のtopだけでは不要です。増強が必要になるのは、マルチとGCスレッドを整えたあとも、業務の制限時間を超えるときです。そのときはCPUファミリーのままvCPUを増やします。メモリを主目的にM系やR系へ移す必要は、今回のITのメモリを見る限りありません。本番メモリが狭い場合だけ、メモリ比の高いファミリーを検討します。</t>
        </is>
      </c>
      <c r="D12" s="22" t="inlineStr">
        <is>
          <t>不要</t>
        </is>
      </c>
      <c r="E12" s="13" t="inlineStr">
        <is>
          <t>先に所要時間、JDKの版、GCスレッド数、本番のメモリ総量を取る。その4つが揃うまでタイプ変更を起票しない。</t>
        </is>
      </c>
    </row>
  </sheetData>
  <autoFilter ref="A4:E12"/>
  <mergeCells count="2">
    <mergeCell ref="A2:E2"/>
    <mergeCell ref="A1:E1"/>
  </mergeCells>
  <printOptions horizontalCentered="1"/>
  <pageMargins left="0.45" right="0.45" top="0.7" bottom="0.55" header="0.28" footer="0.28"/>
  <pageSetup orientation="landscape" paperSize="8" fitToHeight="0" fitToWidth="1" horizontalDpi="300" verticalDpi="300"/>
  <headerFooter>
    <oddHeader>&amp;L&amp;"Meiryo UI"&amp;"Meiryo UI,Regular"&amp;9契約管理バッチサーバ　CPU高負荷の見方&amp;R&amp;"Meiryo UI,Regular"&amp;9インフラ視点　2026-10-10</oddHeader>
    <oddFooter>&amp;L&amp;"Meiryo UI,Regular"&amp;8提示されたtopの1時点。アラーム定義とインスタンスタイプ名は未参照。&amp;R&amp;"Meiryo UI,Regular"&amp;8&amp;P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3A3A3A"/>
    <outlinePr summaryBelow="1" summaryRight="1"/>
    <pageSetUpPr fitToPage="1"/>
  </sheetPr>
  <dimension ref="A1:F19"/>
  <sheetViews>
    <sheetView showGridLines="0" view="normal" zoomScale="10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8" customWidth="1" min="1" max="1"/>
    <col width="22" customWidth="1" min="2" max="2"/>
    <col width="36" customWidth="1" min="3" max="3"/>
    <col width="55" customWidth="1" min="4" max="4"/>
    <col width="16" customWidth="1" min="5" max="5"/>
    <col width="40" customWidth="1" min="6" max="6"/>
  </cols>
  <sheetData>
    <row r="1" ht="34" customHeight="1">
      <c r="A1" s="20" t="inlineStr">
        <is>
          <t>提示されたtopの読み方</t>
        </is>
      </c>
      <c r="B1" s="21" t="n"/>
      <c r="C1" s="21" t="n"/>
      <c r="D1" s="21" t="n"/>
      <c r="E1" s="21" t="n"/>
      <c r="F1" s="21" t="n"/>
    </row>
    <row r="2" ht="28" customHeight="1">
      <c r="A2" s="3" t="inlineStr">
        <is>
          <t>値の列は計算シートを参照する。vCPUを変えると「コアあたり」が変わる。判定は今回の提示値に対するもの。</t>
        </is>
      </c>
      <c r="B2" s="4" t="n"/>
      <c r="C2" s="4" t="n"/>
      <c r="D2" s="4" t="n"/>
      <c r="E2" s="4" t="n"/>
      <c r="F2" s="4" t="n"/>
    </row>
    <row r="3"/>
    <row r="4" ht="30" customHeight="1">
      <c r="A4" s="8" t="inlineStr">
        <is>
          <t>指標</t>
        </is>
      </c>
      <c r="B4" s="8" t="inlineStr">
        <is>
          <t>値</t>
        </is>
      </c>
      <c r="C4" s="8" t="inlineStr">
        <is>
          <t>補助計算</t>
        </is>
      </c>
      <c r="D4" s="8" t="inlineStr">
        <is>
          <t>読み方</t>
        </is>
      </c>
      <c r="E4" s="8" t="inlineStr">
        <is>
          <t>判定</t>
        </is>
      </c>
      <c r="F4" s="8" t="inlineStr">
        <is>
          <t>店のたとえ</t>
        </is>
      </c>
    </row>
    <row r="5" ht="61" customHeight="1">
      <c r="A5" s="24" t="inlineStr">
        <is>
          <t>ロードアベレージ 1分</t>
        </is>
      </c>
      <c r="B5" s="25">
        <f>IT_LOAD1</f>
        <v/>
      </c>
      <c r="C5" s="10">
        <f>TEXT(IT_LOAD1/IT_VCPU,"0.00")&amp;" ／コア"</f>
        <v/>
      </c>
      <c r="D5" s="10" t="inlineStr">
        <is>
          <t>直近1分の、走ろうとしているスレッドの平均人数。8コアに対して約2.2人分の席しかなく、約9.6人分が順番待ち。パーセントではない。</t>
        </is>
      </c>
      <c r="E5" s="26" t="inlineStr">
        <is>
          <t>注意</t>
        </is>
      </c>
      <c r="F5" s="10" t="inlineStr">
        <is>
          <t>レジ8台に、会計したい人が平均17.6人。行列ができている。</t>
        </is>
      </c>
    </row>
    <row r="6" ht="44" customHeight="1">
      <c r="A6" s="27" t="inlineStr">
        <is>
          <t>ロードアベレージ 5分</t>
        </is>
      </c>
      <c r="B6" s="28">
        <f>IT_LOAD5</f>
        <v/>
      </c>
      <c r="C6" s="13">
        <f>TEXT(IT_LOAD5/IT_VCPU,"0.00")&amp;" ／コア"</f>
        <v/>
      </c>
      <c r="D6" s="13" t="inlineStr">
        <is>
          <t>5分で割るとコアあたり0.63。満杯より下。1分値だけが高いので、混雑は始まったばかり。</t>
        </is>
      </c>
      <c r="E6" s="22" t="inlineStr">
        <is>
          <t>想定範囲</t>
        </is>
      </c>
      <c r="F6" s="13" t="inlineStr">
        <is>
          <t>5分の平均だと、レジはまだ半分も埋まっていない。</t>
        </is>
      </c>
    </row>
    <row r="7" ht="44" customHeight="1">
      <c r="A7" s="24" t="inlineStr">
        <is>
          <t>ロードアベレージ 15分</t>
        </is>
      </c>
      <c r="B7" s="25">
        <f>IT_LOAD15</f>
        <v/>
      </c>
      <c r="C7" s="10">
        <f>TEXT(IT_LOAD15/IT_VCPU,"0.00")&amp;" ／コア"</f>
        <v/>
      </c>
      <c r="D7" s="10" t="inlineStr">
        <is>
          <t>15分ではコアあたり0.25。四半期のほとんどは空いていた。長時間の容量不足ではない。</t>
        </is>
      </c>
      <c r="E7" s="22" t="inlineStr">
        <is>
          <t>想定範囲</t>
        </is>
      </c>
      <c r="F7" s="10" t="inlineStr">
        <is>
          <t>15分で見ると、店は閑散としていた。</t>
        </is>
      </c>
    </row>
    <row r="8" ht="44" customHeight="1">
      <c r="A8" s="27" t="inlineStr">
        <is>
          <t>ユーザCPU us</t>
        </is>
      </c>
      <c r="B8" s="29">
        <f>IT_US</f>
        <v/>
      </c>
      <c r="C8" s="13">
        <f>"全体の "&amp;TEXT(IT_US,"0.0")&amp;"%"</f>
        <v/>
      </c>
      <c r="D8" s="13" t="inlineStr">
        <is>
          <t>アプリとJVMの計算。ダンプの文字変換、整形、圧縮、GC、JITがここ。今回の本体。</t>
        </is>
      </c>
      <c r="E8" s="22" t="inlineStr">
        <is>
          <t>想定範囲</t>
        </is>
      </c>
      <c r="F8" s="13" t="inlineStr">
        <is>
          <t>お客がカゴの中身を計算している時間。</t>
        </is>
      </c>
    </row>
    <row r="9" ht="44" customHeight="1">
      <c r="A9" s="24" t="inlineStr">
        <is>
          <t>システムCPU sy</t>
        </is>
      </c>
      <c r="B9" s="30">
        <f>IT_SY</f>
        <v/>
      </c>
      <c r="C9" s="10">
        <f>"全体の "&amp;TEXT(IT_SY,"0.0")&amp;"%"</f>
        <v/>
      </c>
      <c r="D9" s="10" t="inlineStr">
        <is>
          <t>カーネルの仕事。3%程度なら、割り込みや切替は激しくない。プロセス数843の割にカーネルは忙しくない。</t>
        </is>
      </c>
      <c r="E9" s="22" t="inlineStr">
        <is>
          <t>想定範囲</t>
        </is>
      </c>
      <c r="F9" s="10" t="inlineStr">
        <is>
          <t>レジ係が袋に入れている時間。短い。</t>
        </is>
      </c>
    </row>
    <row r="10" ht="61" customHeight="1">
      <c r="A10" s="27" t="inlineStr">
        <is>
          <t>I/O待ち wa</t>
        </is>
      </c>
      <c r="B10" s="29">
        <f>IT_WA</f>
        <v/>
      </c>
      <c r="C10" s="13">
        <f>"全体の "&amp;TEXT(IT_WA,"0.0")&amp;"%"</f>
        <v/>
      </c>
      <c r="D10" s="13" t="inlineStr">
        <is>
          <t>CPUがディスク待ちで空転した割合。0%なので、この瞬間の律速はディスクではない。テーブルダンプでもCPU側の処理が先に頭打ちになっている。</t>
        </is>
      </c>
      <c r="E10" s="22" t="inlineStr">
        <is>
          <t>想定範囲</t>
        </is>
      </c>
      <c r="F10" s="13" t="inlineStr">
        <is>
          <t>倉庫からの品出し待ちはゼロ。計算が遅い。</t>
        </is>
      </c>
    </row>
    <row r="11" ht="61" customHeight="1">
      <c r="A11" s="24" t="inlineStr">
        <is>
          <t>steal st</t>
        </is>
      </c>
      <c r="B11" s="30">
        <f>IT_ST</f>
        <v/>
      </c>
      <c r="C11" s="10">
        <f>"全体の "&amp;TEXT(IT_ST,"0.0")&amp;"%"</f>
        <v/>
      </c>
      <c r="D11" s="10" t="inlineStr">
        <is>
          <t>ハイパーバイザがvCPUを他へ回した時間。0%なので、契約したCPUは受け取っている。noisy neighborでもクレジット枯渇でもない。</t>
        </is>
      </c>
      <c r="E11" s="22" t="inlineStr">
        <is>
          <t>想定範囲</t>
        </is>
      </c>
      <c r="F11" s="10" t="inlineStr">
        <is>
          <t>貸したはずのレジを、大家が他店に回していない。</t>
        </is>
      </c>
    </row>
    <row r="12" ht="61" customHeight="1">
      <c r="A12" s="27" t="inlineStr">
        <is>
          <t>割り込み hi+si</t>
        </is>
      </c>
      <c r="B12" s="29">
        <f>IT_HI+IT_SI</f>
        <v/>
      </c>
      <c r="C12" s="13">
        <f>"hi "&amp;TEXT(IT_HI,"0.0")&amp;" + si "&amp;TEXT(IT_SI,"0.0")</f>
        <v/>
      </c>
      <c r="D12" s="13" t="inlineStr">
        <is>
          <t>ハードウェア割り込み0.8%とソフトウェア割り込み0.1%。原文のh1はtopのhi。全体から見れば小さい。ネットワークやディスクの割り込み嵐ではない。</t>
        </is>
      </c>
      <c r="E12" s="22" t="inlineStr">
        <is>
          <t>想定範囲</t>
        </is>
      </c>
      <c r="F12" s="13" t="inlineStr">
        <is>
          <t>呼び出しベルがたまに鳴る程度。</t>
        </is>
      </c>
    </row>
    <row r="13" ht="44" customHeight="1">
      <c r="A13" s="24" t="inlineStr">
        <is>
          <t>全体の空き</t>
        </is>
      </c>
      <c r="B13" s="30">
        <f>100-(IT_US+IT_SY+IT_NI+IT_WA+IT_HI+IT_SI+IT_ST)</f>
        <v/>
      </c>
      <c r="C13" s="10">
        <f>"アイドル約 "&amp;TEXT(100-(IT_US+IT_SY+IT_NI+IT_WA+IT_HI+IT_SI+IT_ST),"0.0")&amp;"%"</f>
        <v/>
      </c>
      <c r="D13" s="10" t="inlineStr">
        <is>
          <t>全体物差しでは約0.1%しか空いていない。使い切り。100%は超えていない。</t>
        </is>
      </c>
      <c r="E13" s="22" t="inlineStr">
        <is>
          <t>想定範囲</t>
        </is>
      </c>
      <c r="F13" s="10" t="inlineStr">
        <is>
          <t>8台とも会計中。空きレジがない。</t>
        </is>
      </c>
    </row>
    <row r="14" ht="78" customHeight="1">
      <c r="A14" s="27" t="inlineStr">
        <is>
          <t>プロセス%CPUの上位</t>
        </is>
      </c>
      <c r="B14" s="29">
        <f>CPU_SUM7</f>
        <v/>
      </c>
      <c r="C14" s="13">
        <f>TEXT(CPU_SUM7/IT_VCPU,"0.0")&amp;"% of machine"</f>
        <v/>
      </c>
      <c r="D14" s="13" t="inlineStr">
        <is>
          <t>見えている7本の合計が約738%。8コアの満点は800%なので、この7本だけでマシンの約92%。残りをOSと他のJVMが埋めて約99%になる。5本は100%を超え、1本のJVMが一時的に1コアを超えて使っている。</t>
        </is>
      </c>
      <c r="E14" s="22" t="inlineStr">
        <is>
          <t>想定範囲</t>
        </is>
      </c>
      <c r="F14" s="13" t="inlineStr">
        <is>
          <t>何人かは、自分のレジに加えて隣のレジも少し使っている。</t>
        </is>
      </c>
    </row>
    <row r="15" ht="78" customHeight="1">
      <c r="A15" s="24" t="inlineStr">
        <is>
          <t>Tasks</t>
        </is>
      </c>
      <c r="B15" s="31">
        <f>IT_TASKS</f>
        <v/>
      </c>
      <c r="C15" s="10">
        <f>TEXT(IT_RUNNING,"0")&amp;" running / "&amp;TEXT(IT_SLEEP,"0")&amp;" sleeping"</f>
        <v/>
      </c>
      <c r="D15" s="10" t="inlineStr">
        <is>
          <t>プロセスは843あるが、その瞬間に走っていたプロセスは1、休眠841、停止1、ゾンビ0。843は今回のCPU満杯の原因ではない。ロードはプロセス数ではなく、カーネルのスレッドの行列を数える。</t>
        </is>
      </c>
      <c r="E15" s="22" t="inlineStr">
        <is>
          <t>想定範囲</t>
        </is>
      </c>
      <c r="F15" s="10" t="inlineStr">
        <is>
          <t>店内に843人いるが、ほとんどは座席で待っている。会計中は一握り。</t>
        </is>
      </c>
    </row>
    <row r="16" ht="44" customHeight="1">
      <c r="A16" s="27" t="inlineStr">
        <is>
          <t>メモリ total</t>
        </is>
      </c>
      <c r="B16" s="29">
        <f>IT_MEM_TOTAL</f>
        <v/>
      </c>
      <c r="C16" s="13">
        <f>TEXT(IT_MEM_TOTAL/1024,"0.00")&amp;" GiB"</f>
        <v/>
      </c>
      <c r="D16" s="13" t="inlineStr">
        <is>
          <t>約15.0GiB。公称16GiBからカーネル予約などを引いた見える量として自然。8vCPUと組むとコンピュート最適化2xlargeの形。</t>
        </is>
      </c>
      <c r="E16" s="22" t="inlineStr">
        <is>
          <t>想定範囲</t>
        </is>
      </c>
      <c r="F16" s="13" t="inlineStr">
        <is>
          <t>机の広さは16人分の計算机くらい。</t>
        </is>
      </c>
    </row>
    <row r="17" ht="61" customHeight="1">
      <c r="A17" s="24" t="inlineStr">
        <is>
          <t>メモリ available</t>
        </is>
      </c>
      <c r="B17" s="30">
        <f>IT_AVAIL</f>
        <v/>
      </c>
      <c r="C17" s="10">
        <f>TEXT(IT_AVAIL/IT_MEM_TOTAL,"0.0%")</f>
        <v/>
      </c>
      <c r="D17" s="10" t="inlineStr">
        <is>
          <t>アプリが新たに使える量は約9.6GiBで、全体の約64%。freeが1.2GiBと少なく見えても、buff/cache約8.7GiBは戻せる。freeの少なさはメモリ不足ではない。</t>
        </is>
      </c>
      <c r="E17" s="22" t="inlineStr">
        <is>
          <t>想定範囲</t>
        </is>
      </c>
      <c r="F17" s="10" t="inlineStr">
        <is>
          <t>空き机は十分。書類の山は、捨てれば机に戻る下書き。</t>
        </is>
      </c>
    </row>
    <row r="18" ht="44" customHeight="1">
      <c r="A18" s="27" t="inlineStr">
        <is>
          <t>Swap used</t>
        </is>
      </c>
      <c r="B18" s="29">
        <f>IT_SWAP_USED</f>
        <v/>
      </c>
      <c r="C18" s="13">
        <f>TEXT(IT_SWAP_USED/IT_SWAP_TOTAL,"0.000%")</f>
        <v/>
      </c>
      <c r="D18" s="13" t="inlineStr">
        <is>
          <t>スワップ約3.7GiBのうち使用は0.2MiB。メモリをディスクへ逃がしていない。GCやダンプでメモリが枯れた兆候はない。</t>
        </is>
      </c>
      <c r="E18" s="22" t="inlineStr">
        <is>
          <t>想定範囲</t>
        </is>
      </c>
      <c r="F18" s="13" t="inlineStr">
        <is>
          <t>予備の倉庫をほとんど使っていない。</t>
        </is>
      </c>
    </row>
    <row r="19" ht="61" customHeight="1">
      <c r="A19" s="24" t="inlineStr">
        <is>
          <t>同時JVMとマルチ</t>
        </is>
      </c>
      <c r="B19" s="31">
        <f>IT_JVM</f>
        <v/>
      </c>
      <c r="C19" s="10">
        <f>TEXT(IT_MULTI/IT_VCPU,"0.00")&amp;" 倍"</f>
        <v/>
      </c>
      <c r="D19" s="10" t="inlineStr">
        <is>
          <t>提示どおり10JVM、10マルチ、8vCPUと読むと、同時実行はコアの1.25倍。CPUバウンドの仕事としては軽い超過。1ジョブ＝1JVMという仮定。1ジョブが複数JVMを起動するなら掛け算になる。</t>
        </is>
      </c>
      <c r="E19" s="16" t="inlineStr">
        <is>
          <t>実測</t>
        </is>
      </c>
      <c r="F19" s="10" t="inlineStr">
        <is>
          <t>レジ8台に、会計係を10人入れている。</t>
        </is>
      </c>
    </row>
  </sheetData>
  <autoFilter ref="A4:F19"/>
  <mergeCells count="2">
    <mergeCell ref="A2:F2"/>
    <mergeCell ref="A1:F1"/>
  </mergeCells>
  <printOptions horizontalCentered="1"/>
  <pageMargins left="0.45" right="0.45" top="0.7" bottom="0.55" header="0.28" footer="0.28"/>
  <pageSetup orientation="landscape" paperSize="8" fitToHeight="1" fitToWidth="1" horizontalDpi="300" verticalDpi="300"/>
  <headerFooter>
    <oddHeader>&amp;L&amp;"Meiryo UI"&amp;"Meiryo UI,Regular"&amp;9契約管理バッチサーバ　CPU高負荷の見方&amp;R&amp;"Meiryo UI,Regular"&amp;9インフラ視点　2026-10-10</oddHeader>
    <oddFooter>&amp;L&amp;"Meiryo UI,Regular"&amp;8提示されたtopの1時点。アラーム定義とインスタンスタイプ名は未参照。&amp;R&amp;"Meiryo UI,Regular"&amp;8&amp;P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E26"/>
  <sheetViews>
    <sheetView showGridLines="0" view="normal" zoomScale="10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4" customWidth="1" min="1" max="1"/>
    <col width="42" customWidth="1" min="2" max="2"/>
    <col width="46" customWidth="1" min="3" max="3"/>
    <col width="42" customWidth="1" min="4" max="4"/>
    <col width="28" customWidth="1" min="5" max="5"/>
  </cols>
  <sheetData>
    <row r="1" ht="34" customHeight="1">
      <c r="A1" s="20" t="inlineStr">
        <is>
          <t>動作イメージ　レジの店で見る</t>
        </is>
      </c>
      <c r="B1" s="21" t="n"/>
      <c r="C1" s="21" t="n"/>
      <c r="D1" s="21" t="n"/>
      <c r="E1" s="21" t="n"/>
    </row>
    <row r="2" ht="28" customHeight="1">
      <c r="A2" s="3" t="inlineStr">
        <is>
          <t>1つのJVMは、自分のカゴを計算する係。vCPUはレジ。JP1のマルチは、店に同時に何人まで入れるかの札。</t>
        </is>
      </c>
      <c r="B2" s="4" t="n"/>
      <c r="C2" s="4" t="n"/>
      <c r="D2" s="4" t="n"/>
      <c r="E2" s="4" t="n"/>
    </row>
    <row r="3"/>
    <row r="4" ht="30" customHeight="1">
      <c r="A4" s="8" t="inlineStr">
        <is>
          <t>言葉</t>
        </is>
      </c>
      <c r="B4" s="8" t="inlineStr">
        <is>
          <t>店では</t>
        </is>
      </c>
      <c r="C4" s="8" t="inlineStr">
        <is>
          <t>コンピュータでは</t>
        </is>
      </c>
      <c r="D4" s="8" t="inlineStr">
        <is>
          <t>今回の絵</t>
        </is>
      </c>
      <c r="E4" s="8" t="inlineStr">
        <is>
          <t>判定</t>
        </is>
      </c>
    </row>
    <row r="5" ht="61" customHeight="1">
      <c r="A5" s="24" t="inlineStr">
        <is>
          <t>vCPU</t>
        </is>
      </c>
      <c r="B5" s="10" t="inlineStr">
        <is>
          <t>レジ台数。今回は8台。</t>
        </is>
      </c>
      <c r="C5" s="10" t="inlineStr">
        <is>
          <t>OSが同時に計算を進められる枠。EC2のvCPUは、多くの現行タイプでは物理コアのハードウェアスレッド1本。</t>
        </is>
      </c>
      <c r="D5" s="10" t="inlineStr">
        <is>
          <t>8台ともふさがった。</t>
        </is>
      </c>
      <c r="E5" s="22" t="inlineStr">
        <is>
          <t>想定範囲</t>
        </is>
      </c>
    </row>
    <row r="6" ht="44" customHeight="1">
      <c r="A6" s="27" t="inlineStr">
        <is>
          <t>JVM 1本</t>
        </is>
      </c>
      <c r="B6" s="13" t="inlineStr">
        <is>
          <t>会計係1人。原則、自分のお客の計算は1台のレジで行う。</t>
        </is>
      </c>
      <c r="C6" s="13" t="inlineStr">
        <is>
          <t>javaプロセス1つ。ダンプの変換や圧縮を行う。内部にGCやJITという手伝いがいる。</t>
        </is>
      </c>
      <c r="D6" s="13" t="inlineStr">
        <is>
          <t>上位は1人あたり76%〜126%。ほぼ1台、ときどき1.25台。</t>
        </is>
      </c>
      <c r="E6" s="22" t="inlineStr">
        <is>
          <t>想定範囲</t>
        </is>
      </c>
    </row>
    <row r="7" ht="44" customHeight="1">
      <c r="A7" s="24" t="inlineStr">
        <is>
          <t>JP1マルチ</t>
        </is>
      </c>
      <c r="B7" s="10" t="inlineStr">
        <is>
          <t>同時に店へ入れる人数の上限。</t>
        </is>
      </c>
      <c r="C7" s="10" t="inlineStr">
        <is>
          <t>ジョブ実行の同時数。JP1/AJSの実行エージェントやキューの多重度。</t>
        </is>
      </c>
      <c r="D7" s="10" t="inlineStr">
        <is>
          <t>10人まで入れてよい札。</t>
        </is>
      </c>
      <c r="E7" s="16" t="inlineStr">
        <is>
          <t>実測</t>
        </is>
      </c>
    </row>
    <row r="8" ht="44" customHeight="1">
      <c r="A8" s="27" t="inlineStr">
        <is>
          <t>ロードアベレージ</t>
        </is>
      </c>
      <c r="B8" s="13" t="inlineStr">
        <is>
          <t>会計したい人の人数（列に並んでいる人を含む）。</t>
        </is>
      </c>
      <c r="C8" s="13" t="inlineStr">
        <is>
          <t>直近1、5、15分の、実行可能スレッドと、割り込み不能スリープの平均。パーセントではない。</t>
        </is>
      </c>
      <c r="D8" s="13" t="inlineStr">
        <is>
          <t>1分だけ行列が長い。15分は閑散。</t>
        </is>
      </c>
      <c r="E8" s="22" t="inlineStr">
        <is>
          <t>想定範囲</t>
        </is>
      </c>
    </row>
    <row r="9" ht="44" customHeight="1">
      <c r="A9" s="24" t="inlineStr">
        <is>
          <t>CPU 100%（全体）</t>
        </is>
      </c>
      <c r="B9" s="10" t="inlineStr">
        <is>
          <t>8台すべてに会計係がついている。</t>
        </is>
      </c>
      <c r="C9" s="10" t="inlineStr">
        <is>
          <t>割り当てられたvCPUの計算時間が埋まった。CloudWatchのCPUUtilizationはここ。100が上限。</t>
        </is>
      </c>
      <c r="D9" s="10" t="inlineStr">
        <is>
          <t>約99%。満点の直前。</t>
        </is>
      </c>
      <c r="E9" s="22" t="inlineStr">
        <is>
          <t>想定範囲</t>
        </is>
      </c>
    </row>
    <row r="10" ht="44" customHeight="1">
      <c r="A10" s="27" t="inlineStr">
        <is>
          <t>CPU 125%（1本）</t>
        </is>
      </c>
      <c r="B10" s="13" t="inlineStr">
        <is>
          <t>1人の係が、自分のレジを満杯にし、隣のレジも25%使った。</t>
        </is>
      </c>
      <c r="C10" s="13" t="inlineStr">
        <is>
          <t>そのプロセスの全スレッドの合計。1コア＝100%。8コアなら1プロセスの理論上限は約800%。</t>
        </is>
      </c>
      <c r="D10" s="13" t="inlineStr">
        <is>
          <t>GCかJITか、複数スレッドが同時に走った。</t>
        </is>
      </c>
      <c r="E10" s="22" t="inlineStr">
        <is>
          <t>想定範囲</t>
        </is>
      </c>
    </row>
    <row r="11" ht="44" customHeight="1">
      <c r="A11" s="24" t="inlineStr">
        <is>
          <t>us</t>
        </is>
      </c>
      <c r="B11" s="10" t="inlineStr">
        <is>
          <t>お客の商品を足し算している時間。</t>
        </is>
      </c>
      <c r="C11" s="10" t="inlineStr">
        <is>
          <t>ユーザ空間。JVMのバイトコード、JIT後の機械語、圧縮。</t>
        </is>
      </c>
      <c r="D11" s="10" t="inlineStr">
        <is>
          <t>95.9%。仕事の中身そのもの。</t>
        </is>
      </c>
      <c r="E11" s="22" t="inlineStr">
        <is>
          <t>想定範囲</t>
        </is>
      </c>
    </row>
    <row r="12" ht="44" customHeight="1">
      <c r="A12" s="27" t="inlineStr">
        <is>
          <t>wa</t>
        </is>
      </c>
      <c r="B12" s="13" t="inlineStr">
        <is>
          <t>倉庫から品物が届くまで、レジが手を止めている時間。</t>
        </is>
      </c>
      <c r="C12" s="13" t="inlineStr">
        <is>
          <t>I/O待ち。ディスクが遅いときのサイン。</t>
        </is>
      </c>
      <c r="D12" s="13" t="inlineStr">
        <is>
          <t>0%。倉庫待ちではない。</t>
        </is>
      </c>
      <c r="E12" s="22" t="inlineStr">
        <is>
          <t>想定範囲</t>
        </is>
      </c>
    </row>
    <row r="13" ht="27" customHeight="1">
      <c r="A13" s="24" t="inlineStr">
        <is>
          <t>st</t>
        </is>
      </c>
      <c r="B13" s="10" t="inlineStr">
        <is>
          <t>大家がレジ台を他の店へ貸してしまった時間。</t>
        </is>
      </c>
      <c r="C13" s="10" t="inlineStr">
        <is>
          <t>CPU steal。仮想化で実CPUをもらえなかった時間。</t>
        </is>
      </c>
      <c r="D13" s="10" t="inlineStr">
        <is>
          <t>0%。貸しは満額受け取った。</t>
        </is>
      </c>
      <c r="E13" s="22" t="inlineStr">
        <is>
          <t>想定範囲</t>
        </is>
      </c>
    </row>
    <row r="14" ht="44" customHeight="1">
      <c r="A14" s="27" t="inlineStr">
        <is>
          <t>availableメモリ</t>
        </is>
      </c>
      <c r="B14" s="13" t="inlineStr">
        <is>
          <t>今からでも使える机の広さ。</t>
        </is>
      </c>
      <c r="C14" s="13" t="inlineStr">
        <is>
          <t>新しいアプリがスワップせずに使えるメモリ。キャッシュを戻した量を含む。</t>
        </is>
      </c>
      <c r="D14" s="13" t="inlineStr">
        <is>
          <t>約9.6GiB。余裕がある。</t>
        </is>
      </c>
      <c r="E14" s="22" t="inlineStr">
        <is>
          <t>想定範囲</t>
        </is>
      </c>
    </row>
    <row r="15" ht="44" customHeight="1">
      <c r="A15" s="24" t="inlineStr">
        <is>
          <t>buff/cache</t>
        </is>
      </c>
      <c r="B15" s="10" t="inlineStr">
        <is>
          <t>さっき読んだ書類を、机の端に積んである状態。</t>
        </is>
      </c>
      <c r="C15" s="10" t="inlineStr">
        <is>
          <t>ページキャッシュ。再読込を速くし、空きが必要なら返せる。</t>
        </is>
      </c>
      <c r="D15" s="10" t="inlineStr">
        <is>
          <t>約8.7GiB。ダンプの読み書きを助けている。</t>
        </is>
      </c>
      <c r="E15" s="22" t="inlineStr">
        <is>
          <t>想定範囲</t>
        </is>
      </c>
    </row>
    <row r="16" ht="27" customHeight="1">
      <c r="A16" s="27" t="inlineStr">
        <is>
          <t>swap</t>
        </is>
      </c>
      <c r="B16" s="13" t="inlineStr">
        <is>
          <t>机が足りず、書類を遠い倉庫へ移すこと。</t>
        </is>
      </c>
      <c r="C16" s="13" t="inlineStr">
        <is>
          <t>メモリ不足のときのディスクへの退避。遅い。</t>
        </is>
      </c>
      <c r="D16" s="13" t="inlineStr">
        <is>
          <t>0.2MiBだけ。実質未使用。</t>
        </is>
      </c>
      <c r="E16" s="22" t="inlineStr">
        <is>
          <t>想定範囲</t>
        </is>
      </c>
    </row>
    <row r="17" ht="27" customHeight="1">
      <c r="A17" s="24" t="inlineStr">
        <is>
          <t>休眠タスク</t>
        </is>
      </c>
      <c r="B17" s="10" t="inlineStr">
        <is>
          <t>店にいるが、呼ばれるまで座っている人。</t>
        </is>
      </c>
      <c r="C17" s="10" t="inlineStr">
        <is>
          <t>sleep。CPUを使わない。</t>
        </is>
      </c>
      <c r="D17" s="10" t="inlineStr">
        <is>
          <t>841。人数の多さは忙しさではない。</t>
        </is>
      </c>
      <c r="E17" s="22" t="inlineStr">
        <is>
          <t>想定範囲</t>
        </is>
      </c>
    </row>
    <row r="18" ht="27" customHeight="1">
      <c r="A18" s="27" t="inlineStr">
        <is>
          <t>ゾンビ</t>
        </is>
      </c>
      <c r="B18" s="13" t="inlineStr">
        <is>
          <t>会計は終わったのに、伝票だけ残っている状態。</t>
        </is>
      </c>
      <c r="C18" s="13" t="inlineStr">
        <is>
          <t>親が回収していない終了プロセス。</t>
        </is>
      </c>
      <c r="D18" s="13" t="inlineStr">
        <is>
          <t>0。回収漏れはない。</t>
        </is>
      </c>
      <c r="E18" s="22" t="inlineStr">
        <is>
          <t>想定範囲</t>
        </is>
      </c>
    </row>
    <row r="19"/>
    <row r="20" ht="36" customHeight="1">
      <c r="A20" s="5" t="inlineStr">
        <is>
          <t>ダンプの数分間に、店の中で起きていること</t>
        </is>
      </c>
      <c r="B20" s="5" t="n"/>
      <c r="C20" s="5" t="n"/>
      <c r="D20" s="5" t="n"/>
      <c r="E20" s="5" t="n"/>
    </row>
    <row r="21" ht="30" customHeight="1">
      <c r="A21" s="8" t="inlineStr">
        <is>
          <t>順</t>
        </is>
      </c>
      <c r="B21" s="8" t="inlineStr">
        <is>
          <t>場面</t>
        </is>
      </c>
      <c r="C21" s="8" t="inlineStr">
        <is>
          <t>中で起きていること</t>
        </is>
      </c>
      <c r="D21" s="8" t="inlineStr">
        <is>
          <t>段階</t>
        </is>
      </c>
      <c r="E21" s="8" t="inlineStr">
        <is>
          <t>判定</t>
        </is>
      </c>
    </row>
    <row r="22" ht="61" customHeight="1">
      <c r="A22" s="9" t="inlineStr">
        <is>
          <t>1</t>
        </is>
      </c>
      <c r="B22" s="10" t="inlineStr">
        <is>
          <t>JP1が札の数だけジョブを起動する</t>
        </is>
      </c>
      <c r="C22" s="10" t="inlineStr">
        <is>
          <t>マルチ10なら、javaが最大10本立つ。各JVMは起動直後、クラスの読込とJITでCPUを使う。1分ロードだけが高いことと合う。</t>
        </is>
      </c>
      <c r="D22" s="10" t="inlineStr">
        <is>
          <t>開始</t>
        </is>
      </c>
      <c r="E22" s="22" t="inlineStr">
        <is>
          <t>想定範囲</t>
        </is>
      </c>
    </row>
    <row r="23" ht="61" customHeight="1">
      <c r="A23" s="12" t="inlineStr">
        <is>
          <t>2</t>
        </is>
      </c>
      <c r="B23" s="13" t="inlineStr">
        <is>
          <t>各JVMが表の行を読み、文字や数値に変換する</t>
        </is>
      </c>
      <c r="C23" s="13" t="inlineStr">
        <is>
          <t>この処理が1本あたり約1コア。圧縮やコード変換があると、ディスクより先にCPUが埋まる。waが0なのはこのため。</t>
        </is>
      </c>
      <c r="D23" s="13" t="inlineStr">
        <is>
          <t>計算</t>
        </is>
      </c>
      <c r="E23" s="22" t="inlineStr">
        <is>
          <t>想定範囲</t>
        </is>
      </c>
    </row>
    <row r="24" ht="44" customHeight="1">
      <c r="A24" s="9" t="inlineStr">
        <is>
          <t>3</t>
        </is>
      </c>
      <c r="B24" s="10" t="inlineStr">
        <is>
          <t>8台のレジに10人の係</t>
        </is>
      </c>
      <c r="C24" s="10" t="inlineStr">
        <is>
          <t>同時に走れるのは8本分。残りの仕事はランキューで数ミリ秒ずつ待つ。ロードが8を超える。</t>
        </is>
      </c>
      <c r="D24" s="10" t="inlineStr">
        <is>
          <t>行列</t>
        </is>
      </c>
      <c r="E24" s="26" t="inlineStr">
        <is>
          <t>注意</t>
        </is>
      </c>
    </row>
    <row r="25" ht="78" customHeight="1">
      <c r="A25" s="12" t="inlineStr">
        <is>
          <t>4</t>
        </is>
      </c>
      <c r="B25" s="13" t="inlineStr">
        <is>
          <t>GCやJITが手伝いを呼ぶ</t>
        </is>
      </c>
      <c r="C25" s="13" t="inlineStr">
        <is>
          <t>各JVMはCPUが8個見えるので、GCスレッドを最大8本ずつ持ち得る。10本だと最大80本の手伝いが名札を持つ。全員が一度に走るとは限らない。1分ロード17.6は、実働スレッドがその付近まで増えたことを示す。</t>
        </is>
      </c>
      <c r="D25" s="13" t="inlineStr">
        <is>
          <t>手伝い</t>
        </is>
      </c>
      <c r="E25" s="26" t="inlineStr">
        <is>
          <t>注意</t>
        </is>
      </c>
    </row>
    <row r="26" ht="61" customHeight="1">
      <c r="A26" s="9" t="inlineStr">
        <is>
          <t>5</t>
        </is>
      </c>
      <c r="B26" s="10" t="inlineStr">
        <is>
          <t>ダンプが終わると店は閑散に戻る</t>
        </is>
      </c>
      <c r="C26" s="10" t="inlineStr">
        <is>
          <t>15分ロードが0.25／コアなのは、この戻りの証拠。警報がこの戻りを待たずに鳴ると、仕事中の満席を障害と扱う。</t>
        </is>
      </c>
      <c r="D26" s="10" t="inlineStr">
        <is>
          <t>終了</t>
        </is>
      </c>
      <c r="E26" s="17" t="inlineStr">
        <is>
          <t>見直し</t>
        </is>
      </c>
    </row>
  </sheetData>
  <autoFilter ref="A4:E18"/>
  <mergeCells count="3">
    <mergeCell ref="A2:E2"/>
    <mergeCell ref="A1:E1"/>
    <mergeCell ref="A20:E20"/>
  </mergeCells>
  <printOptions horizontalCentered="1"/>
  <pageMargins left="0.45" right="0.45" top="0.7" bottom="0.55" header="0.28" footer="0.28"/>
  <pageSetup orientation="landscape" paperSize="8" fitToHeight="0" fitToWidth="1" horizontalDpi="300" verticalDpi="300"/>
  <headerFooter>
    <oddHeader>&amp;L&amp;"Meiryo UI"&amp;"Meiryo UI,Regular"&amp;9契約管理バッチサーバ　CPU高負荷の見方&amp;R&amp;"Meiryo UI,Regular"&amp;9インフラ視点　2026-10-10</oddHeader>
    <oddFooter>&amp;L&amp;"Meiryo UI,Regular"&amp;8提示されたtopの1時点。アラーム定義とインスタンスタイプ名は未参照。&amp;R&amp;"Meiryo UI,Regular"&amp;8&amp;P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F17"/>
  <sheetViews>
    <sheetView showGridLines="0" view="normal" zoomScale="10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8" customWidth="1" min="1" max="1"/>
    <col width="32" customWidth="1" min="2" max="2"/>
    <col width="32" customWidth="1" min="3" max="3"/>
    <col width="36" customWidth="1" min="4" max="4"/>
    <col width="28" customWidth="1" min="5" max="5"/>
    <col width="32" customWidth="1" min="6" max="6"/>
  </cols>
  <sheetData>
    <row r="1" ht="34" customHeight="1">
      <c r="A1" s="20" t="inlineStr">
        <is>
          <t>100%には3つの物差しがある</t>
        </is>
      </c>
      <c r="B1" s="21" t="n"/>
      <c r="C1" s="21" t="n"/>
      <c r="D1" s="21" t="n"/>
      <c r="E1" s="21" t="n"/>
      <c r="F1" s="21" t="n"/>
    </row>
    <row r="2" ht="28" customHeight="1">
      <c r="A2" s="3" t="inlineStr">
        <is>
          <t>同じ瞬間でも、道具が違えば「100%を超えた」が真にも偽にもなる。会議の前に物差しを1つに揃える。</t>
        </is>
      </c>
      <c r="B2" s="4" t="n"/>
      <c r="C2" s="4" t="n"/>
      <c r="D2" s="4" t="n"/>
      <c r="E2" s="4" t="n"/>
      <c r="F2" s="4" t="n"/>
    </row>
    <row r="3"/>
    <row r="4" ht="30" customHeight="1">
      <c r="A4" s="8" t="inlineStr">
        <is>
          <t>物差し</t>
        </is>
      </c>
      <c r="B4" s="8" t="inlineStr">
        <is>
          <t>100%の意味</t>
        </is>
      </c>
      <c r="C4" s="8" t="inlineStr">
        <is>
          <t>理論上の上限</t>
        </is>
      </c>
      <c r="D4" s="8" t="inlineStr">
        <is>
          <t>今回の値</t>
        </is>
      </c>
      <c r="E4" s="8" t="inlineStr">
        <is>
          <t>100%を超えたか</t>
        </is>
      </c>
      <c r="F4" s="8" t="inlineStr">
        <is>
          <t>どこで見るか</t>
        </is>
      </c>
    </row>
    <row r="5" ht="44" customHeight="1">
      <c r="A5" s="24" t="inlineStr">
        <is>
          <t>A. マシン全体</t>
        </is>
      </c>
      <c r="B5" s="10" t="inlineStr">
        <is>
          <t>割り当てた全vCPUの平均。8台全部が埋まって100%。</t>
        </is>
      </c>
      <c r="C5" s="10" t="inlineStr">
        <is>
          <t>100%</t>
        </is>
      </c>
      <c r="D5" s="10" t="inlineStr">
        <is>
          <t>us95.9＋sy3.1＋hi0.8＋si0.1＝99.9。空き約0.1%。</t>
        </is>
      </c>
      <c r="E5" s="22" t="inlineStr">
        <is>
          <t>超えていない</t>
        </is>
      </c>
      <c r="F5" s="10" t="inlineStr">
        <is>
          <t>topの%Cpu(s)行、CloudWatchのCPUUtilization、mpstatのall</t>
        </is>
      </c>
    </row>
    <row r="6" ht="44" customHeight="1">
      <c r="A6" s="27" t="inlineStr">
        <is>
          <t>B. プロセス1本</t>
        </is>
      </c>
      <c r="B6" s="13" t="inlineStr">
        <is>
          <t>そのプロセスが1コアを使い切ると100%。</t>
        </is>
      </c>
      <c r="C6" s="13" t="inlineStr">
        <is>
          <t>vCPU×100%。8なら約800%。</t>
        </is>
      </c>
      <c r="D6" s="13" t="inlineStr">
        <is>
          <t>125.5、122.4、115.1、108.6、101.0、88.5、76.6。</t>
        </is>
      </c>
      <c r="E6" s="26" t="inlineStr">
        <is>
          <t>超えた。5本が100%超。</t>
        </is>
      </c>
      <c r="F6" s="13" t="inlineStr">
        <is>
          <t>topの各行の%CPU。スレッド表示にするとさらに分かれる</t>
        </is>
      </c>
    </row>
    <row r="7" ht="44" customHeight="1">
      <c r="A7" s="24" t="inlineStr">
        <is>
          <t>C. コアの足し算</t>
        </is>
      </c>
      <c r="B7" s="10" t="inlineStr">
        <is>
          <t>1コア＝100%を台数分だけ足す。満点が800%。</t>
        </is>
      </c>
      <c r="C7" s="10" t="inlineStr">
        <is>
          <t>800%</t>
        </is>
      </c>
      <c r="D7" s="10" t="inlineStr">
        <is>
          <t>全体が埋まると約800%。7本の合計だけでも約738%。</t>
        </is>
      </c>
      <c r="E7" s="16" t="inlineStr">
        <is>
          <t>100を超えて見えるが、満点の約9割。</t>
        </is>
      </c>
      <c r="F7" s="10" t="inlineStr">
        <is>
          <t>一部の監視エージェントやWindowsの生カウンタ。単位表記を確認する</t>
        </is>
      </c>
    </row>
    <row r="8"/>
    <row r="9" ht="36" customHeight="1">
      <c r="A9" s="5" t="inlineStr">
        <is>
          <t>CloudWatchのCPUUtilization（2026年10月の公開仕様）</t>
        </is>
      </c>
      <c r="B9" s="5" t="n"/>
      <c r="C9" s="5" t="n"/>
      <c r="D9" s="5" t="n"/>
      <c r="E9" s="5" t="n"/>
      <c r="F9" s="5" t="n"/>
    </row>
    <row r="10" ht="30" customHeight="1">
      <c r="A10" s="8" t="inlineStr">
        <is>
          <t>項目</t>
        </is>
      </c>
      <c r="B10" s="8" t="inlineStr">
        <is>
          <t>仕様</t>
        </is>
      </c>
      <c r="C10" s="8" t="inlineStr">
        <is>
          <t>バッチでの意味</t>
        </is>
      </c>
      <c r="D10" s="8" t="inlineStr">
        <is>
          <t>今回との関係</t>
        </is>
      </c>
      <c r="E10" s="8" t="inlineStr">
        <is>
          <t>判断</t>
        </is>
      </c>
      <c r="F10" s="8" t="inlineStr">
        <is>
          <t>出典の種類</t>
        </is>
      </c>
    </row>
    <row r="11" ht="44" customHeight="1">
      <c r="A11" s="24" t="inlineStr">
        <is>
          <t>値の範囲</t>
        </is>
      </c>
      <c r="B11" s="10" t="inlineStr">
        <is>
          <t>0〜100%。全vCPUの平均。100を超える定義がない。</t>
        </is>
      </c>
      <c r="C11" s="10" t="inlineStr">
        <is>
          <t>100%は「借りたCPUを全部使った」。</t>
        </is>
      </c>
      <c r="D11" s="10" t="inlineStr">
        <is>
          <t>今回の全体行と整合する。約99%。</t>
        </is>
      </c>
      <c r="E11" s="22" t="inlineStr">
        <is>
          <t>想定範囲</t>
        </is>
      </c>
      <c r="F11" s="10" t="inlineStr">
        <is>
          <t>AWS CloudWatch EC2メトリクス</t>
        </is>
      </c>
    </row>
    <row r="12" ht="44" customHeight="1">
      <c r="A12" s="27" t="inlineStr">
        <is>
          <t>基本監視</t>
        </is>
      </c>
      <c r="B12" s="13" t="inlineStr">
        <is>
          <t>多くのメトリクスは5分周期。</t>
        </is>
      </c>
      <c r="C12" s="13" t="inlineStr">
        <is>
          <t>1〜2分のスパイクは平均で薄まる。</t>
        </is>
      </c>
      <c r="D12" s="13" t="inlineStr">
        <is>
          <t>5分ロードがすでに低い。5分平均のCPUは100%未満だった可能性が高い。</t>
        </is>
      </c>
      <c r="E12" s="26" t="inlineStr">
        <is>
          <t>注意</t>
        </is>
      </c>
      <c r="F12" s="13" t="inlineStr">
        <is>
          <t>EC2モニタリングの周期</t>
        </is>
      </c>
    </row>
    <row r="13" ht="44" customHeight="1">
      <c r="A13" s="24" t="inlineStr">
        <is>
          <t>詳細監視</t>
        </is>
      </c>
      <c r="B13" s="10" t="inlineStr">
        <is>
          <t>1分周期。有料オプション。</t>
        </is>
      </c>
      <c r="C13" s="10" t="inlineStr">
        <is>
          <t>短い飽和も見える。</t>
        </is>
      </c>
      <c r="D13" s="10" t="inlineStr">
        <is>
          <t>クリティカルが鳴ったなら、1分監視か、エージェント監視の可能性がある。</t>
        </is>
      </c>
      <c r="E13" s="18" t="inlineStr">
        <is>
          <t>未確認</t>
        </is>
      </c>
      <c r="F13" s="10" t="inlineStr">
        <is>
          <t>アカウント側の設定</t>
        </is>
      </c>
    </row>
    <row r="14" ht="44" customHeight="1">
      <c r="A14" s="27" t="inlineStr">
        <is>
          <t>アラームの初期値</t>
        </is>
      </c>
      <c r="B14" s="13" t="inlineStr">
        <is>
          <t>EC2作成時にCPUのWarning/Criticalは付かない。</t>
        </is>
      </c>
      <c r="C14" s="13" t="inlineStr">
        <is>
          <t>閾値は利用者が作る。</t>
        </is>
      </c>
      <c r="D14" s="13" t="inlineStr">
        <is>
          <t>現行パーセントは資料から断定できない。</t>
        </is>
      </c>
      <c r="E14" s="18" t="inlineStr">
        <is>
          <t>未確認</t>
        </is>
      </c>
      <c r="F14" s="13" t="inlineStr">
        <is>
          <t>アラームは利用者定義</t>
        </is>
      </c>
    </row>
    <row r="15" ht="44" customHeight="1">
      <c r="A15" s="24" t="inlineStr">
        <is>
          <t>公式手順の例</t>
        </is>
      </c>
      <c r="B15" s="10" t="inlineStr">
        <is>
          <t>平均、5分、70%、評価2回、のサンプルがある。</t>
        </is>
      </c>
      <c r="C15" s="10" t="inlineStr">
        <is>
          <t>作り方の見本。バッチの合格点ではない。</t>
        </is>
      </c>
      <c r="D15" s="10" t="inlineStr">
        <is>
          <t>この例のまま本番バッチに付けると、ダンプのたびにALARMになる。</t>
        </is>
      </c>
      <c r="E15" s="17" t="inlineStr">
        <is>
          <t>見直し</t>
        </is>
      </c>
      <c r="F15" s="10" t="inlineStr">
        <is>
          <t>CloudWatchユーザーガイドのCPUアラーム手順（2026-10更新）</t>
        </is>
      </c>
    </row>
    <row r="16" ht="44" customHeight="1">
      <c r="A16" s="27" t="inlineStr">
        <is>
          <t>日次の80%の話</t>
        </is>
      </c>
      <c r="B16" s="13" t="inlineStr">
        <is>
          <t>運用チームがサイズ見直しに使う日次平均の例がある。</t>
        </is>
      </c>
      <c r="C16" s="13" t="inlineStr">
        <is>
          <t>1日の平均が高いならサイズを話す、という別の目的。</t>
        </is>
      </c>
      <c r="D16" s="13" t="inlineStr">
        <is>
          <t>数分のピークを、日次のサイジング警報と同じに扱わない。</t>
        </is>
      </c>
      <c r="E16" s="17" t="inlineStr">
        <is>
          <t>見直し</t>
        </is>
      </c>
      <c r="F16" s="13" t="inlineStr">
        <is>
          <t>AWS規範ガイダンスのアラーム例</t>
        </is>
      </c>
    </row>
    <row r="17" ht="44" customHeight="1">
      <c r="A17" s="24" t="inlineStr">
        <is>
          <t>状態名</t>
        </is>
      </c>
      <c r="B17" s="10" t="inlineStr">
        <is>
          <t>OK / ALARM / INSUFFICIENT_DATA。</t>
        </is>
      </c>
      <c r="C17" s="10" t="inlineStr">
        <is>
          <t>Warning/Criticalという語はCloudWatchの状態名ではない。</t>
        </is>
      </c>
      <c r="D17" s="10" t="inlineStr">
        <is>
          <t>今回の「クリティカル」はJP1/PFM、Hinemos、Zabbix等の重大度の可能性が高い。</t>
        </is>
      </c>
      <c r="E17" s="18" t="inlineStr">
        <is>
          <t>未確認</t>
        </is>
      </c>
      <c r="F17" s="10" t="inlineStr">
        <is>
          <t>CloudWatchアラームの状態モデル</t>
        </is>
      </c>
    </row>
  </sheetData>
  <autoFilter ref="A10:F17"/>
  <mergeCells count="3">
    <mergeCell ref="A2:F2"/>
    <mergeCell ref="A1:F1"/>
    <mergeCell ref="A9:F9"/>
  </mergeCells>
  <printOptions horizontalCentered="1"/>
  <pageMargins left="0.45" right="0.45" top="0.7" bottom="0.55" header="0.28" footer="0.28"/>
  <pageSetup orientation="landscape" paperSize="8" fitToHeight="0" fitToWidth="1" horizontalDpi="300" verticalDpi="300"/>
  <headerFooter>
    <oddHeader>&amp;L&amp;"Meiryo UI"&amp;"Meiryo UI,Regular"&amp;9契約管理バッチサーバ　CPU高負荷の見方&amp;R&amp;"Meiryo UI,Regular"&amp;9インフラ視点　2026-10-10</oddHeader>
    <oddFooter>&amp;L&amp;"Meiryo UI,Regular"&amp;8提示されたtopの1時点。アラーム定義とインスタンスタイプ名は未参照。&amp;R&amp;"Meiryo UI,Regular"&amp;8&amp;P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6A6A6A"/>
    <outlinePr summaryBelow="1" summaryRight="1"/>
    <pageSetUpPr fitToPage="1"/>
  </sheetPr>
  <dimension ref="A1:E18"/>
  <sheetViews>
    <sheetView showGridLines="0" view="normal" zoomScale="10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18" customWidth="1" min="1" max="1"/>
    <col width="38" customWidth="1" min="2" max="2"/>
    <col width="48" customWidth="1" min="3" max="3"/>
    <col width="48" customWidth="1" min="4" max="4"/>
    <col width="22" customWidth="1" min="5" max="5"/>
  </cols>
  <sheetData>
    <row r="1" ht="34" customHeight="1">
      <c r="A1" s="20" t="inlineStr">
        <is>
          <t>なぜこの数字が生まれたか</t>
        </is>
      </c>
      <c r="B1" s="21" t="n"/>
      <c r="C1" s="21" t="n"/>
      <c r="D1" s="21" t="n"/>
      <c r="E1" s="21" t="n"/>
    </row>
    <row r="2" ht="28" customHeight="1">
      <c r="A2" s="3" t="inlineStr">
        <is>
          <t>100%を超えて見えるのも、ロードアベレージがパーセントでないのも、当時の機械の制約から順に足された物差しだから。</t>
        </is>
      </c>
      <c r="B2" s="4" t="n"/>
      <c r="C2" s="4" t="n"/>
      <c r="D2" s="4" t="n"/>
      <c r="E2" s="4" t="n"/>
    </row>
    <row r="3"/>
    <row r="4" ht="30" customHeight="1">
      <c r="A4" s="8" t="inlineStr">
        <is>
          <t>時期</t>
        </is>
      </c>
      <c r="B4" s="8" t="inlineStr">
        <is>
          <t>何が生まれたか</t>
        </is>
      </c>
      <c r="C4" s="8" t="inlineStr">
        <is>
          <t>なぜ必要になったか</t>
        </is>
      </c>
      <c r="D4" s="8" t="inlineStr">
        <is>
          <t>今回のダンプとの関係</t>
        </is>
      </c>
      <c r="E4" s="8" t="inlineStr">
        <is>
          <t>判定への影響</t>
        </is>
      </c>
    </row>
    <row r="5" ht="44" customHeight="1">
      <c r="A5" s="24" t="inlineStr">
        <is>
          <t>1940〜60年代</t>
        </is>
      </c>
      <c r="B5" s="10" t="inlineStr">
        <is>
          <t>コンピュータは一度に1つの仕事。忙しいか暇かだけ。</t>
        </is>
      </c>
      <c r="C5" s="10" t="inlineStr">
        <is>
          <t>レジが1台の時代。100%が自然な上限だった。</t>
        </is>
      </c>
      <c r="D5" s="10" t="inlineStr">
        <is>
          <t>全体CPUを0〜100で語る感覚は、この時代の名残。</t>
        </is>
      </c>
      <c r="E5" s="10" t="inlineStr">
        <is>
          <t>物差しAの起源</t>
        </is>
      </c>
    </row>
    <row r="6" ht="61" customHeight="1">
      <c r="A6" s="27" t="inlineStr">
        <is>
          <t>1961〜1970年代</t>
        </is>
      </c>
      <c r="B6" s="13" t="inlineStr">
        <is>
          <t>タイムシェアリングとUnix（1969年、ベル研究所）。ロードアベレージ。</t>
        </is>
      </c>
      <c r="C6" s="13" t="inlineStr">
        <is>
          <t>1台のCPUを大勢で順番に使うようになり、「今何人待っているか」が必要になった。割合では行列の長さが分からない。</t>
        </is>
      </c>
      <c r="D6" s="13" t="inlineStr">
        <is>
          <t>17.59は割合ではなく人数。8と比べて初めて意味が出る。</t>
        </is>
      </c>
      <c r="E6" s="13" t="inlineStr">
        <is>
          <t>ロードの読み方</t>
        </is>
      </c>
    </row>
    <row r="7" ht="44" customHeight="1">
      <c r="A7" s="24" t="inlineStr">
        <is>
          <t>1990年代半ば</t>
        </is>
      </c>
      <c r="B7" s="10" t="inlineStr">
        <is>
          <t>JP1などのジョブ管理。多重度（マルチ）。</t>
        </is>
      </c>
      <c r="C7" s="10" t="inlineStr">
        <is>
          <t>夜間バッチを無制限に流すと、DBもサーバも潰れる。同時に何本まで入れるかの安全弁が必要になった。</t>
        </is>
      </c>
      <c r="D7" s="10" t="inlineStr">
        <is>
          <t>マルチは速度つまみであると同時に、保護装置。CPUだけを見て上げない。DBの余裕も見る。</t>
        </is>
      </c>
      <c r="E7" s="10" t="inlineStr">
        <is>
          <t>本数の意味</t>
        </is>
      </c>
    </row>
    <row r="8" ht="44" customHeight="1">
      <c r="A8" s="27" t="inlineStr">
        <is>
          <t>1995年</t>
        </is>
      </c>
      <c r="B8" s="13" t="inlineStr">
        <is>
          <t>JavaとJVM。</t>
        </is>
      </c>
      <c r="C8" s="13" t="inlineStr">
        <is>
          <t>プログラムをどの機械でも同じように動かすため、アプリとOSの間にJVMを置いた。</t>
        </is>
      </c>
      <c r="D8" s="13" t="inlineStr">
        <is>
          <t>ダンプがjavaプロセスとして見え、CPUの大半がusに出る。</t>
        </is>
      </c>
      <c r="E8" s="13" t="inlineStr">
        <is>
          <t>JVMが当事者</t>
        </is>
      </c>
    </row>
    <row r="9" ht="44" customHeight="1">
      <c r="A9" s="24" t="inlineStr">
        <is>
          <t>1998年前後</t>
        </is>
      </c>
      <c r="B9" s="10" t="inlineStr">
        <is>
          <t>JavaスレッドがOSのスレッドになる。</t>
        </is>
      </c>
      <c r="C9" s="10" t="inlineStr">
        <is>
          <t>1つのjavaプロセスの中に、同時に走る係が複数できる。プロセス単位のCPUが100%を超え始めた。</t>
        </is>
      </c>
      <c r="D9" s="10" t="inlineStr">
        <is>
          <t>125%は、1つのJVMの中の複数スレッドが同時に走った表示。</t>
        </is>
      </c>
      <c r="E9" s="10" t="inlineStr">
        <is>
          <t>物差しB</t>
        </is>
      </c>
    </row>
    <row r="10" ht="44" customHeight="1">
      <c r="A10" s="27" t="inlineStr">
        <is>
          <t>2002年</t>
        </is>
      </c>
      <c r="B10" s="13" t="inlineStr">
        <is>
          <t>ハイパースレッディング。1物理コアが論理CPU 2つに見える。</t>
        </is>
      </c>
      <c r="C10" s="13" t="inlineStr">
        <is>
          <t>待ち時間のすき間にもう1本の流れを入れ、コアを遊ばせないため。</t>
        </is>
      </c>
      <c r="D10" s="13" t="inlineStr">
        <is>
          <t>8vCPUは、物理4コア×2のことがある。論理CPU基準で本数を合わせ、伸びが止まったら実測で6も試す。</t>
        </is>
      </c>
      <c r="E10" s="16" t="inlineStr">
        <is>
          <t>実測</t>
        </is>
      </c>
    </row>
    <row r="11" ht="44" customHeight="1">
      <c r="A11" s="24" t="inlineStr">
        <is>
          <t>2004年</t>
        </is>
      </c>
      <c r="B11" s="10" t="inlineStr">
        <is>
          <t>Java 5のパラレルGC。GCスレッド数をCPU数から自動計算。</t>
        </is>
      </c>
      <c r="C11" s="10" t="inlineStr">
        <is>
          <t>1台のサーバを1つのJVMが占有する時代には、CPUの数だけ手伝いを出すのが速かった。</t>
        </is>
      </c>
      <c r="D11" s="10" t="inlineStr">
        <is>
          <t>今は1台にJVMが10本ある。各JVMが「店全部は自分のもの」と思って手伝いを呼ぶ。前提が崩れている。</t>
        </is>
      </c>
      <c r="E11" s="17" t="inlineStr">
        <is>
          <t>見直し</t>
        </is>
      </c>
    </row>
    <row r="12" ht="44" customHeight="1">
      <c r="A12" s="27" t="inlineStr">
        <is>
          <t>2005〜2006年</t>
        </is>
      </c>
      <c r="B12" s="13" t="inlineStr">
        <is>
          <t>マルチコアが一般に。topの100%超が日常になる。</t>
        </is>
      </c>
      <c r="C12" s="13" t="inlineStr">
        <is>
          <t>レジが複数台になり、1台＝100%の表示を残したため、複数台使うと100%を超える。</t>
        </is>
      </c>
      <c r="D12" s="13" t="inlineStr">
        <is>
          <t>100%超えを故障文字として扱わない。</t>
        </is>
      </c>
      <c r="E12" s="22" t="inlineStr">
        <is>
          <t>想定範囲</t>
        </is>
      </c>
    </row>
    <row r="13" ht="44" customHeight="1">
      <c r="A13" s="24" t="inlineStr">
        <is>
          <t>2006年</t>
        </is>
      </c>
      <c r="B13" s="10" t="inlineStr">
        <is>
          <t>Amazon EC2。CPUを時間貸しする。</t>
        </is>
      </c>
      <c r="C13" s="10" t="inlineStr">
        <is>
          <t>自分の機械を買わず、vCPUという枠を借りる形になった。</t>
        </is>
      </c>
      <c r="D13" s="10" t="inlineStr">
        <is>
          <t>枠を使い切ることは、借りたものを使っているということ。</t>
        </is>
      </c>
      <c r="E13" s="10" t="inlineStr">
        <is>
          <t>増強の判断</t>
        </is>
      </c>
    </row>
    <row r="14" ht="44" customHeight="1">
      <c r="A14" s="27" t="inlineStr">
        <is>
          <t>2009年以降</t>
        </is>
      </c>
      <c r="B14" s="13" t="inlineStr">
        <is>
          <t>CloudWatch。CPUUtilizationは0〜100の平均。</t>
        </is>
      </c>
      <c r="C14" s="13" t="inlineStr">
        <is>
          <t>台数が違うインスタンスを、同じ0〜100で比べたかった。topのプロセス行とは別の物差しを採用した。</t>
        </is>
      </c>
      <c r="D14" s="13" t="inlineStr">
        <is>
          <t>CloudWatchが100を超えることは、定義上ない。</t>
        </is>
      </c>
      <c r="E14" s="13" t="inlineStr">
        <is>
          <t>物差しA</t>
        </is>
      </c>
    </row>
    <row r="15" ht="44" customHeight="1">
      <c r="A15" s="24" t="inlineStr">
        <is>
          <t>2017年</t>
        </is>
      </c>
      <c r="B15" s="10" t="inlineStr">
        <is>
          <t>Java 9でG1 GCが標準に。</t>
        </is>
      </c>
      <c r="C15" s="10" t="inlineStr">
        <is>
          <t>大きなヒープの停止時間を短くするため。手伝いの人数は、依然として見えるCPU数から決まる。</t>
        </is>
      </c>
      <c r="D15" s="10" t="inlineStr">
        <is>
          <t>小さいダンプJVMを何十本も置くと、G1の仕組みが重すぎることがある。Serial GCの実測余地がある。</t>
        </is>
      </c>
      <c r="E15" s="16" t="inlineStr">
        <is>
          <t>実測</t>
        </is>
      </c>
    </row>
    <row r="16" ht="61" customHeight="1">
      <c r="A16" s="27" t="inlineStr">
        <is>
          <t>2018年</t>
        </is>
      </c>
      <c r="B16" s="13" t="inlineStr">
        <is>
          <t>JDK 10のActiveProcessorCount。JDK 8後期のコンテナ対応。</t>
        </is>
      </c>
      <c r="C16" s="13" t="inlineStr">
        <is>
          <t>1台のCPUを多数のJVMで分けるのが普通になり、「見えるCPU数」をJVMごとに宣言する必要が生まれた。</t>
        </is>
      </c>
      <c r="D16" s="13" t="inlineStr">
        <is>
          <t>EC2に直接JVMを置いていると、コンテナ制限は効かない。8も32も、各JVMから全コアが見える。フラグを自分で付ける。</t>
        </is>
      </c>
      <c r="E16" s="17" t="inlineStr">
        <is>
          <t>見直し</t>
        </is>
      </c>
    </row>
    <row r="17" ht="44" customHeight="1">
      <c r="A17" s="24" t="inlineStr">
        <is>
          <t>2020年代</t>
        </is>
      </c>
      <c r="B17" s="10" t="inlineStr">
        <is>
          <t>Nitro世代のEC2。vCPUは専用に近い。stealは通常ほぼ0。</t>
        </is>
      </c>
      <c r="C17" s="10" t="inlineStr">
        <is>
          <t>昔の共有スケジューラより、借りたコアが安定して届く。</t>
        </is>
      </c>
      <c r="D17" s="10" t="inlineStr">
        <is>
          <t>今回stが0なのは、この世代の正常な姿と一致する。</t>
        </is>
      </c>
      <c r="E17" s="22" t="inlineStr">
        <is>
          <t>想定範囲</t>
        </is>
      </c>
    </row>
    <row r="18" ht="44" customHeight="1">
      <c r="A18" s="27" t="inlineStr">
        <is>
          <t>2026年10月</t>
        </is>
      </c>
      <c r="B18" s="13" t="inlineStr">
        <is>
          <t>CloudWatchのCPUアラーム手順は、なお70%・5分・2回が例。</t>
        </is>
      </c>
      <c r="C18" s="13" t="inlineStr">
        <is>
          <t>例はオンライン寄りの見本として残っている。バッチの合格線としては文書化されていない。</t>
        </is>
      </c>
      <c r="D18" s="13" t="inlineStr">
        <is>
          <t>バッチ用の閾値は、利用者が仕事の制限時間から自分で決める段階のまま。</t>
        </is>
      </c>
      <c r="E18" s="17" t="inlineStr">
        <is>
          <t>見直し</t>
        </is>
      </c>
    </row>
  </sheetData>
  <autoFilter ref="A4:E18"/>
  <mergeCells count="2">
    <mergeCell ref="A2:E2"/>
    <mergeCell ref="A1:E1"/>
  </mergeCells>
  <printOptions horizontalCentered="1"/>
  <pageMargins left="0.45" right="0.45" top="0.7" bottom="0.55" header="0.28" footer="0.28"/>
  <pageSetup orientation="landscape" paperSize="8" fitToHeight="0" fitToWidth="1" horizontalDpi="300" verticalDpi="300"/>
  <headerFooter>
    <oddHeader>&amp;L&amp;"Meiryo UI"&amp;"Meiryo UI,Regular"&amp;9契約管理バッチサーバ　CPU高負荷の見方&amp;R&amp;"Meiryo UI,Regular"&amp;9インフラ視点　2026-10-10</oddHeader>
    <oddFooter>&amp;L&amp;"Meiryo UI,Regular"&amp;8提示されたtopの1時点。アラーム定義とインスタンスタイプ名は未参照。&amp;R&amp;"Meiryo UI,Regular"&amp;8&amp;P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333333"/>
    <outlinePr summaryBelow="1" summaryRight="1"/>
    <pageSetUpPr fitToPage="1"/>
  </sheetPr>
  <dimension ref="A1:F25"/>
  <sheetViews>
    <sheetView showGridLines="0" view="normal" zoomScale="10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8" customWidth="1" min="1" max="1"/>
    <col width="22" customWidth="1" min="2" max="2"/>
    <col width="22" customWidth="1" min="3" max="3"/>
    <col width="24" customWidth="1" min="4" max="4"/>
    <col width="36" customWidth="1" min="5" max="5"/>
    <col width="40" customWidth="1" min="6" max="6"/>
  </cols>
  <sheetData>
    <row r="1" ht="34" customHeight="1">
      <c r="A1" s="20" t="inlineStr">
        <is>
          <t>JVM数、vCPU、JP1マルチの関係</t>
        </is>
      </c>
      <c r="B1" s="21" t="n"/>
      <c r="C1" s="21" t="n"/>
      <c r="D1" s="21" t="n"/>
      <c r="E1" s="21" t="n"/>
      <c r="F1" s="21" t="n"/>
    </row>
    <row r="2" ht="28" customHeight="1">
      <c r="A2" s="3" t="inlineStr">
        <is>
          <t>前提：1つのダンプ仕事は、だいたい1コアまでしか使わない。仕事の長さは全部同じ、という算数。GCの混乱はこの表より遅くする。</t>
        </is>
      </c>
      <c r="B2" s="4" t="n"/>
      <c r="C2" s="4" t="n"/>
      <c r="D2" s="4" t="n"/>
      <c r="E2" s="4" t="n"/>
      <c r="F2" s="4" t="n"/>
    </row>
    <row r="3"/>
    <row r="4" ht="30" customHeight="1">
      <c r="A4" s="8" t="inlineStr">
        <is>
          <t>場面</t>
        </is>
      </c>
      <c r="B4" s="8" t="inlineStr">
        <is>
          <t>同時実行</t>
        </is>
      </c>
      <c r="C4" s="8" t="inlineStr">
        <is>
          <t>vCPU</t>
        </is>
      </c>
      <c r="D4" s="8" t="inlineStr">
        <is>
          <t>コア比</t>
        </is>
      </c>
      <c r="E4" s="8" t="inlineStr">
        <is>
          <t>終了までの指数（1仕事＝1）</t>
        </is>
      </c>
      <c r="F4" s="8" t="inlineStr">
        <is>
          <t>読み方</t>
        </is>
      </c>
    </row>
    <row r="5" ht="44" customHeight="1">
      <c r="A5" s="24" t="inlineStr">
        <is>
          <t>IT 現状</t>
        </is>
      </c>
      <c r="B5" s="32">
        <f>IT_MULTI</f>
        <v/>
      </c>
      <c r="C5" s="32">
        <f>IT_VCPU</f>
        <v/>
      </c>
      <c r="D5" s="25">
        <f>IT_MULTI/IT_VCPU</f>
        <v/>
      </c>
      <c r="E5" s="25">
        <f>SCEN_IT10</f>
        <v/>
      </c>
      <c r="F5" s="10" t="inlineStr">
        <is>
          <t>10本ちょうどなら、少し混んでも全員が同時に終わる。指数は約1.25。</t>
        </is>
      </c>
    </row>
    <row r="6" ht="44" customHeight="1">
      <c r="A6" s="27" t="inlineStr">
        <is>
          <t>IT 同時実行を8</t>
        </is>
      </c>
      <c r="B6" s="33" t="inlineStr">
        <is>
          <t>8</t>
        </is>
      </c>
      <c r="C6" s="33">
        <f>IT_VCPU</f>
        <v/>
      </c>
      <c r="D6" s="28">
        <f>8/IT_VCPU</f>
        <v/>
      </c>
      <c r="E6" s="28">
        <f>SCEN_IT8</f>
        <v/>
      </c>
      <c r="F6" s="13" t="inlineStr">
        <is>
          <t>最初の8本のあと、残り2本だけが動き、6コアが空く。指数は2。10本限定なら現状より遅い。</t>
        </is>
      </c>
    </row>
    <row r="7" ht="44" customHeight="1">
      <c r="A7" s="24" t="inlineStr">
        <is>
          <t>IT 同時実行を7</t>
        </is>
      </c>
      <c r="B7" s="32" t="inlineStr">
        <is>
          <t>7</t>
        </is>
      </c>
      <c r="C7" s="32">
        <f>IT_VCPU</f>
        <v/>
      </c>
      <c r="D7" s="25">
        <f>7/IT_VCPU</f>
        <v/>
      </c>
      <c r="E7" s="25">
        <f>SCEN_IT7</f>
        <v/>
      </c>
      <c r="F7" s="10" t="inlineStr">
        <is>
          <t>OSに1コア残す案。10本限定では波が2回になり、指数は2。常時1コア遊ぶ。</t>
        </is>
      </c>
    </row>
    <row r="8" ht="44" customHeight="1">
      <c r="A8" s="27" t="inlineStr">
        <is>
          <t>IT ジョブが80本でマルチ8</t>
        </is>
      </c>
      <c r="B8" s="33" t="inlineStr">
        <is>
          <t>8</t>
        </is>
      </c>
      <c r="C8" s="33">
        <f>IT_VCPU</f>
        <v/>
      </c>
      <c r="D8" s="28">
        <f>8/IT_VCPU</f>
        <v/>
      </c>
      <c r="E8" s="28">
        <f>SCEN_IT80_M8</f>
        <v/>
      </c>
      <c r="F8" s="13" t="inlineStr">
        <is>
          <t>本数が多いときの基準。コアが最後まで埋まる。指数は10。</t>
        </is>
      </c>
    </row>
    <row r="9" ht="44" customHeight="1">
      <c r="A9" s="24" t="inlineStr">
        <is>
          <t>IT ジョブが80本でマルチ10</t>
        </is>
      </c>
      <c r="B9" s="32" t="inlineStr">
        <is>
          <t>10</t>
        </is>
      </c>
      <c r="C9" s="32">
        <f>IT_VCPU</f>
        <v/>
      </c>
      <c r="D9" s="25">
        <f>10/IT_VCPU</f>
        <v/>
      </c>
      <c r="E9" s="25">
        <f>SCEN_IT80_M10</f>
        <v/>
      </c>
      <c r="F9" s="10" t="inlineStr">
        <is>
          <t>オーバーヘッドを無視すれば指数は同じく10。実際は切替とGCで10より遅くなり得る。</t>
        </is>
      </c>
    </row>
    <row r="10" ht="44" customHeight="1">
      <c r="A10" s="27" t="inlineStr">
        <is>
          <t>本番 マルチ32</t>
        </is>
      </c>
      <c r="B10" s="33">
        <f>PROD_MULTI</f>
        <v/>
      </c>
      <c r="C10" s="33">
        <f>PROD_VCPU</f>
        <v/>
      </c>
      <c r="D10" s="28">
        <f>PROD_MULTI/PROD_VCPU</f>
        <v/>
      </c>
      <c r="E10" s="28">
        <f>SCEN_P32</f>
        <v/>
      </c>
      <c r="F10" s="13" t="inlineStr">
        <is>
          <t>32と32は1対1。58本なら最後の26本で6コアが空き、指数は2。基本案。</t>
        </is>
      </c>
    </row>
    <row r="11" ht="44" customHeight="1">
      <c r="A11" s="24" t="inlineStr">
        <is>
          <t>本番 マルチ58</t>
        </is>
      </c>
      <c r="B11" s="32">
        <f>PROD_JVM</f>
        <v/>
      </c>
      <c r="C11" s="32">
        <f>PROD_VCPU</f>
        <v/>
      </c>
      <c r="D11" s="25">
        <f>PROD_JVM/PROD_VCPU</f>
        <v/>
      </c>
      <c r="E11" s="25">
        <f>SCEN_P58</f>
        <v/>
      </c>
      <c r="F11" s="10" t="inlineStr">
        <is>
          <t>理論指数は約1.81。32マルチの2より少し短い。GCとメモリの代償がこの差を消し得る。</t>
        </is>
      </c>
    </row>
    <row r="12" ht="44" customHeight="1">
      <c r="A12" s="27" t="inlineStr">
        <is>
          <t>本番 ジョブが多数でマルチ32</t>
        </is>
      </c>
      <c r="B12" s="33" t="inlineStr">
        <is>
          <t>32</t>
        </is>
      </c>
      <c r="C12" s="33">
        <f>PROD_VCPU</f>
        <v/>
      </c>
      <c r="D12" s="28" t="inlineStr">
        <is>
          <t>1.00</t>
        </is>
      </c>
      <c r="E12" s="28">
        <f>SCEN_P_MANY</f>
        <v/>
      </c>
      <c r="F12" s="13" t="inlineStr">
        <is>
          <t>仕事が数百あるなら、同時実行は32が無駄が少ない。58同時に上げる利得は端数だけ。</t>
        </is>
      </c>
    </row>
    <row r="13"/>
    <row r="14" ht="36" customHeight="1">
      <c r="A14" s="5" t="inlineStr">
        <is>
          <t>各JVMが「CPUは全部自分のもの」と思う問題</t>
        </is>
      </c>
      <c r="B14" s="5" t="n"/>
      <c r="C14" s="5" t="n"/>
      <c r="D14" s="5" t="n"/>
      <c r="E14" s="5" t="n"/>
      <c r="F14" s="5" t="n"/>
    </row>
    <row r="15" ht="30" customHeight="1">
      <c r="A15" s="8" t="inlineStr">
        <is>
          <t>項目</t>
        </is>
      </c>
      <c r="B15" s="8" t="inlineStr">
        <is>
          <t>IT 8vCPU</t>
        </is>
      </c>
      <c r="C15" s="8" t="inlineStr">
        <is>
          <t>本番 32vCPU</t>
        </is>
      </c>
      <c r="D15" s="8" t="inlineStr">
        <is>
          <t>計算式</t>
        </is>
      </c>
      <c r="E15" s="8" t="inlineStr">
        <is>
          <t>何が起きるか</t>
        </is>
      </c>
      <c r="F15" s="8" t="inlineStr">
        <is>
          <t>対処</t>
        </is>
      </c>
    </row>
    <row r="16" ht="61" customHeight="1">
      <c r="A16" s="24" t="inlineStr">
        <is>
          <t>パラレルGCスレッド／JVM</t>
        </is>
      </c>
      <c r="B16" s="32">
        <f>GC_IT</f>
        <v/>
      </c>
      <c r="C16" s="11">
        <f>GC_PROD</f>
        <v/>
      </c>
      <c r="D16" s="10" t="inlineStr">
        <is>
          <t>CPUが8以下ならCPU数。それ以外は 8＋(CPU−8)×5/8 の整数。</t>
        </is>
      </c>
      <c r="E16" s="10" t="inlineStr">
        <is>
          <t>JVMごとに、見えるCPUの数だけ手伝いの名札を作る。</t>
        </is>
      </c>
      <c r="F16" s="10" t="inlineStr">
        <is>
          <t>ActiveProcessorCount=1 を検討</t>
        </is>
      </c>
    </row>
    <row r="17" ht="61" customHeight="1">
      <c r="A17" s="27" t="inlineStr">
        <is>
          <t>ITで10JVMが全部持つと</t>
        </is>
      </c>
      <c r="B17" s="33">
        <f>GC_IT*IT_JVM</f>
        <v/>
      </c>
      <c r="C17" s="14" t="inlineStr">
        <is>
          <t>—</t>
        </is>
      </c>
      <c r="D17" s="13" t="inlineStr">
        <is>
          <t>8×10</t>
        </is>
      </c>
      <c r="E17" s="13" t="inlineStr">
        <is>
          <t>名札は最大80。全員が同時に走るとは限らない。ロード17.6は、実働がその付近だったことを示す。</t>
        </is>
      </c>
      <c r="F17" s="13" t="inlineStr">
        <is>
          <t>GCログで同時走行を確認</t>
        </is>
      </c>
    </row>
    <row r="18" ht="44" customHeight="1">
      <c r="A18" s="24" t="inlineStr">
        <is>
          <t>本番32JVMが全部持つと</t>
        </is>
      </c>
      <c r="B18" s="11" t="inlineStr">
        <is>
          <t>—</t>
        </is>
      </c>
      <c r="C18" s="32">
        <f>GC_PROD*PROD_MULTI</f>
        <v/>
      </c>
      <c r="D18" s="10" t="inlineStr">
        <is>
          <t>23×32</t>
        </is>
      </c>
      <c r="E18" s="10" t="inlineStr">
        <is>
          <t>名札は最大736。ダンプの本体は32本でも、GCの瞬間に行列が跳ね得る。</t>
        </is>
      </c>
      <c r="F18" s="10" t="inlineStr">
        <is>
          <t>本番前にフラグを決める</t>
        </is>
      </c>
    </row>
    <row r="19" ht="44" customHeight="1">
      <c r="A19" s="27" t="inlineStr">
        <is>
          <t>本番58JVMが全部持つと</t>
        </is>
      </c>
      <c r="B19" s="14" t="inlineStr">
        <is>
          <t>—</t>
        </is>
      </c>
      <c r="C19" s="33">
        <f>GC_PROD*PROD_JVM</f>
        <v/>
      </c>
      <c r="D19" s="13" t="inlineStr">
        <is>
          <t>23×58</t>
        </is>
      </c>
      <c r="E19" s="13" t="inlineStr">
        <is>
          <t>名札は最大1334。1.8倍の超過に、手伝いの爆発が重なる。</t>
        </is>
      </c>
      <c r="F19" s="13" t="inlineStr">
        <is>
          <t>同時58は基本にしない</t>
        </is>
      </c>
    </row>
    <row r="20" ht="44" customHeight="1">
      <c r="A20" s="24" t="inlineStr">
        <is>
          <t>ActiveProcessorCount=1</t>
        </is>
      </c>
      <c r="B20" s="11" t="inlineStr">
        <is>
          <t>1</t>
        </is>
      </c>
      <c r="C20" s="11" t="inlineStr">
        <is>
          <t>1</t>
        </is>
      </c>
      <c r="D20" s="10" t="inlineStr">
        <is>
          <t>見えるCPUを1と宣言する。</t>
        </is>
      </c>
      <c r="E20" s="10" t="inlineStr">
        <is>
          <t>GCもコンパイラも、1コア向けの人数に縮む。本体のダンプが1コアなことと合う。</t>
        </is>
      </c>
      <c r="F20" s="10" t="inlineStr">
        <is>
          <t>Java 10、または8u191以降で確認</t>
        </is>
      </c>
    </row>
    <row r="21" ht="44" customHeight="1">
      <c r="A21" s="27" t="inlineStr">
        <is>
          <t>古いJava 8</t>
        </is>
      </c>
      <c r="B21" s="14" t="inlineStr">
        <is>
          <t>要確認</t>
        </is>
      </c>
      <c r="C21" s="14" t="inlineStr">
        <is>
          <t>要確認</t>
        </is>
      </c>
      <c r="D21" s="13" t="inlineStr">
        <is>
          <t>PrintFlagsFinalにフラグが無い版がある。</t>
        </is>
      </c>
      <c r="E21" s="13" t="inlineStr">
        <is>
          <t>ParallelGCThreads=1、ConcGCThreads=1、CICompilerCount=2を明示する。</t>
        </is>
      </c>
      <c r="F21" s="13" t="inlineStr">
        <is>
          <t>java -versionを取る</t>
        </is>
      </c>
    </row>
    <row r="22" ht="61" customHeight="1">
      <c r="A22" s="24" t="inlineStr">
        <is>
          <t>小さいヒープの選択</t>
        </is>
      </c>
      <c r="B22" s="11" t="inlineStr">
        <is>
          <t>要実測</t>
        </is>
      </c>
      <c r="C22" s="11" t="inlineStr">
        <is>
          <t>要実測</t>
        </is>
      </c>
      <c r="D22" s="10" t="inlineStr">
        <is>
          <t>CPUが1つのJVMに、並列GCはオーバーヘッドになることがある。</t>
        </is>
      </c>
      <c r="E22" s="10" t="inlineStr">
        <is>
          <t>ダンプJVMのヒープが小さいなら、UseSerialGCの方が短いことがある。</t>
        </is>
      </c>
      <c r="F22" s="10" t="inlineStr">
        <is>
          <t>所要時間で比べる</t>
        </is>
      </c>
    </row>
    <row r="23"/>
    <row r="24" ht="36" customHeight="1">
      <c r="A24" s="34" t="inlineStr">
        <is>
          <t>読み方の注意：終了指数は「オーバーヘッドがゼロで、仕事の長さが全部同じ」の場合です。実際のダンプは表ごとに大きさが違います。大きい表が1本だけ最後に残ると、同時実行を上げてもその1本の時間は縮みません。1本が1コアしか使わないためです。その表だけを速くしたいなら、本数ではなく、その処理の中身（圧縮、変換、SQL）を分けます。</t>
        </is>
      </c>
      <c r="B24" s="7" t="n"/>
      <c r="C24" s="7" t="n"/>
      <c r="D24" s="7" t="n"/>
      <c r="E24" s="7" t="n"/>
      <c r="F24" s="7" t="n"/>
    </row>
    <row r="25" ht="36" customHeight="1">
      <c r="A25" s="7" t="n"/>
      <c r="B25" s="7" t="n"/>
      <c r="C25" s="7" t="n"/>
      <c r="D25" s="7" t="n"/>
      <c r="E25" s="7" t="n"/>
      <c r="F25" s="7" t="n"/>
    </row>
  </sheetData>
  <autoFilter ref="A4:F12"/>
  <mergeCells count="4">
    <mergeCell ref="A2:F2"/>
    <mergeCell ref="A14:F14"/>
    <mergeCell ref="A1:F1"/>
    <mergeCell ref="A24:F25"/>
  </mergeCells>
  <printOptions horizontalCentered="1"/>
  <pageMargins left="0.45" right="0.45" top="0.7" bottom="0.55" header="0.28" footer="0.28"/>
  <pageSetup orientation="landscape" paperSize="8" fitToHeight="0" fitToWidth="1" horizontalDpi="300" verticalDpi="300"/>
  <headerFooter>
    <oddHeader>&amp;L&amp;"Meiryo UI"&amp;"Meiryo UI,Regular"&amp;9契約管理バッチサーバ　CPU高負荷の見方&amp;R&amp;"Meiryo UI,Regular"&amp;9インフラ視点　2026-10-10</oddHeader>
    <oddFooter>&amp;L&amp;"Meiryo UI,Regular"&amp;8提示されたtopの1時点。アラーム定義とインスタンスタイプ名は未参照。&amp;R&amp;"Meiryo UI,Regular"&amp;8&amp;P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444444"/>
    <outlinePr summaryBelow="1" summaryRight="1"/>
    <pageSetUpPr fitToPage="1"/>
  </sheetPr>
  <dimension ref="A1:E16"/>
  <sheetViews>
    <sheetView showGridLines="0" view="normal" zoomScale="10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8" customWidth="1" min="1" max="1"/>
    <col width="36" customWidth="1" min="2" max="2"/>
    <col width="36" customWidth="1" min="3" max="3"/>
    <col width="48" customWidth="1" min="4" max="4"/>
    <col width="22" customWidth="1" min="5" max="5"/>
  </cols>
  <sheetData>
    <row r="1" ht="34" customHeight="1">
      <c r="A1" s="20" t="inlineStr">
        <is>
          <t>ITで見えたことを、本番32vCPUへどう持ち込むか</t>
        </is>
      </c>
      <c r="B1" s="21" t="n"/>
      <c r="C1" s="21" t="n"/>
      <c r="D1" s="21" t="n"/>
      <c r="E1" s="21" t="n"/>
    </row>
    <row r="2" ht="28" customHeight="1">
      <c r="A2" s="3" t="inlineStr">
        <is>
          <t>本番のメモリ、JDK、実同時数は未提示。CPUの形だけがITと同じ、と仮定して持ち込む。</t>
        </is>
      </c>
      <c r="B2" s="4" t="n"/>
      <c r="C2" s="4" t="n"/>
      <c r="D2" s="4" t="n"/>
      <c r="E2" s="4" t="n"/>
    </row>
    <row r="3"/>
    <row r="4" ht="30" customHeight="1">
      <c r="A4" s="8" t="inlineStr">
        <is>
          <t>項目</t>
        </is>
      </c>
      <c r="B4" s="8" t="inlineStr">
        <is>
          <t>IT（今回）</t>
        </is>
      </c>
      <c r="C4" s="8" t="inlineStr">
        <is>
          <t>本番（提示された前提）</t>
        </is>
      </c>
      <c r="D4" s="8" t="inlineStr">
        <is>
          <t>インフラの見立て</t>
        </is>
      </c>
      <c r="E4" s="8" t="inlineStr">
        <is>
          <t>判断</t>
        </is>
      </c>
    </row>
    <row r="5" ht="44" customHeight="1">
      <c r="A5" s="24" t="inlineStr">
        <is>
          <t>vCPU</t>
        </is>
      </c>
      <c r="B5" s="10" t="inlineStr">
        <is>
          <t>8</t>
        </is>
      </c>
      <c r="C5" s="10" t="inlineStr">
        <is>
          <t>32</t>
        </is>
      </c>
      <c r="D5" s="10" t="inlineStr">
        <is>
          <t>4倍。CPUバウンドなら、他が同じなら計算能力も約4倍。</t>
        </is>
      </c>
      <c r="E5" s="22" t="inlineStr">
        <is>
          <t>想定範囲</t>
        </is>
      </c>
    </row>
    <row r="6" ht="44" customHeight="1">
      <c r="A6" s="27" t="inlineStr">
        <is>
          <t>見えるメモリ</t>
        </is>
      </c>
      <c r="B6" s="13" t="inlineStr">
        <is>
          <t>約15GiB、利用可能約9.6GiB</t>
        </is>
      </c>
      <c r="C6" s="13" t="inlineStr">
        <is>
          <t>未提示</t>
        </is>
      </c>
      <c r="D6" s="13" t="inlineStr">
        <is>
          <t>ITはメモリ余裕。本番が32vCPUのC系8xlargeならメモリは約64GiB、M系なら約128GiB。タイプ名で確定する。</t>
        </is>
      </c>
      <c r="E6" s="18" t="inlineStr">
        <is>
          <t>未確認</t>
        </is>
      </c>
    </row>
    <row r="7" ht="44" customHeight="1">
      <c r="A7" s="24" t="inlineStr">
        <is>
          <t>JVMの提示数</t>
        </is>
      </c>
      <c r="B7" s="10" t="inlineStr">
        <is>
          <t>10</t>
        </is>
      </c>
      <c r="C7" s="10" t="inlineStr">
        <is>
          <t>58</t>
        </is>
      </c>
      <c r="D7" s="10" t="inlineStr">
        <is>
          <t>58は同時実行とは限らない。定義の上限、対象テーブル数、起動済みプロセス数のどれかを分ける。</t>
        </is>
      </c>
      <c r="E7" s="18" t="inlineStr">
        <is>
          <t>未確認</t>
        </is>
      </c>
    </row>
    <row r="8" ht="27" customHeight="1">
      <c r="A8" s="27" t="inlineStr">
        <is>
          <t>JP1マルチ</t>
        </is>
      </c>
      <c r="B8" s="13" t="inlineStr">
        <is>
          <t>10</t>
        </is>
      </c>
      <c r="C8" s="13" t="inlineStr">
        <is>
          <t>32が質問上の案</t>
        </is>
      </c>
      <c r="D8" s="13" t="inlineStr">
        <is>
          <t>32はvCPUと1対1で、CPUバウンドの基準として妥当。</t>
        </is>
      </c>
      <c r="E8" s="22" t="inlineStr">
        <is>
          <t>妥当</t>
        </is>
      </c>
    </row>
    <row r="9" ht="44" customHeight="1">
      <c r="A9" s="24" t="inlineStr">
        <is>
          <t>ダンプ中の全体CPU</t>
        </is>
      </c>
      <c r="B9" s="10" t="inlineStr">
        <is>
          <t>約99%</t>
        </is>
      </c>
      <c r="C9" s="10" t="inlineStr">
        <is>
          <t>32マルチでも100%近くなる</t>
        </is>
      </c>
      <c r="D9" s="10" t="inlineStr">
        <is>
          <t>本番でもクリティカルは鳴る。鳴ること自体はITと同じ正常な使い切り。</t>
        </is>
      </c>
      <c r="E9" s="22" t="inlineStr">
        <is>
          <t>想定範囲</t>
        </is>
      </c>
    </row>
    <row r="10" ht="44" customHeight="1">
      <c r="A10" s="27" t="inlineStr">
        <is>
          <t>超過倍率</t>
        </is>
      </c>
      <c r="B10" s="13" t="inlineStr">
        <is>
          <t>1.25倍</t>
        </is>
      </c>
      <c r="C10" s="13" t="inlineStr">
        <is>
          <t>32マルチなら1.0倍。58同時なら1.81倍</t>
        </is>
      </c>
      <c r="D10" s="13" t="inlineStr">
        <is>
          <t>ITの1.25倍は軽い。本番の1.81倍は、GCスレッドと重なると軽いとは言えない。</t>
        </is>
      </c>
      <c r="E10" s="23" t="inlineStr">
        <is>
          <t>条件つき</t>
        </is>
      </c>
    </row>
    <row r="11" ht="44" customHeight="1">
      <c r="A11" s="24" t="inlineStr">
        <is>
          <t>GC名札の最大</t>
        </is>
      </c>
      <c r="B11" s="10" t="inlineStr">
        <is>
          <t>約80</t>
        </is>
      </c>
      <c r="C11" s="10" t="inlineStr">
        <is>
          <t>32同時で約736、58同時で約1334</t>
        </is>
      </c>
      <c r="D11" s="10" t="inlineStr">
        <is>
          <t>未設定のまま本数だけ合わせると、本番の方が荒れる。フラグが先。</t>
        </is>
      </c>
      <c r="E11" s="17" t="inlineStr">
        <is>
          <t>見直し</t>
        </is>
      </c>
    </row>
    <row r="12" ht="61" customHeight="1">
      <c r="A12" s="27" t="inlineStr">
        <is>
          <t>ディスク待ち</t>
        </is>
      </c>
      <c r="B12" s="13" t="inlineStr">
        <is>
          <t>0%</t>
        </is>
      </c>
      <c r="C12" s="13" t="inlineStr">
        <is>
          <t>未知</t>
        </is>
      </c>
      <c r="D12" s="13" t="inlineStr">
        <is>
          <t>ITはこの瞬間ディスク律速ではない。本番のEBSと出力先は別測定。CPUを増やすと次にディスクが見え始めることがある。</t>
        </is>
      </c>
      <c r="E12" s="16" t="inlineStr">
        <is>
          <t>実測</t>
        </is>
      </c>
    </row>
    <row r="13" ht="44" customHeight="1">
      <c r="A13" s="24" t="inlineStr">
        <is>
          <t>steal</t>
        </is>
      </c>
      <c r="B13" s="10" t="inlineStr">
        <is>
          <t>0%</t>
        </is>
      </c>
      <c r="C13" s="10" t="inlineStr">
        <is>
          <t>未知</t>
        </is>
      </c>
      <c r="D13" s="10" t="inlineStr">
        <is>
          <t>ITはCPUを満額受け取っている。本番もNitroの現行タイプなら、同様にほぼ0が正常。</t>
        </is>
      </c>
      <c r="E13" s="22" t="inlineStr">
        <is>
          <t>想定範囲</t>
        </is>
      </c>
    </row>
    <row r="14" ht="44" customHeight="1">
      <c r="A14" s="27" t="inlineStr">
        <is>
          <t>スワップ</t>
        </is>
      </c>
      <c r="B14" s="13" t="inlineStr">
        <is>
          <t>ほぼ0</t>
        </is>
      </c>
      <c r="C14" s="13" t="inlineStr">
        <is>
          <t>未知</t>
        </is>
      </c>
      <c r="D14" s="13" t="inlineStr">
        <is>
          <t>本番でスワップが増えたら、先に同時実行かヒープを下げる。CPU追加より先。</t>
        </is>
      </c>
      <c r="E14" s="23" t="inlineStr">
        <is>
          <t>条件つき</t>
        </is>
      </c>
    </row>
    <row r="15" ht="44" customHeight="1">
      <c r="A15" s="24" t="inlineStr">
        <is>
          <t>処理時間</t>
        </is>
      </c>
      <c r="B15" s="10" t="inlineStr">
        <is>
          <t>未提示</t>
        </is>
      </c>
      <c r="C15" s="10" t="inlineStr">
        <is>
          <t>未提示</t>
        </is>
      </c>
      <c r="D15" s="10" t="inlineStr">
        <is>
          <t>窓に入っているなら増強しない。入っていないときだけサイズを話す。</t>
        </is>
      </c>
      <c r="E15" s="16" t="inlineStr">
        <is>
          <t>実測</t>
        </is>
      </c>
    </row>
    <row r="16" ht="44" customHeight="1">
      <c r="A16" s="27" t="inlineStr">
        <is>
          <t>DB側</t>
        </is>
      </c>
      <c r="B16" s="13" t="inlineStr">
        <is>
          <t>未提示</t>
        </is>
      </c>
      <c r="C16" s="13" t="inlineStr">
        <is>
          <t>未提示</t>
        </is>
      </c>
      <c r="D16" s="13" t="inlineStr">
        <is>
          <t>ダンプはSELECT。マルチを上げるとバッチサーバより先にDBが飽和することがある。CPU対策と別に見る。</t>
        </is>
      </c>
      <c r="E16" s="16" t="inlineStr">
        <is>
          <t>実測</t>
        </is>
      </c>
    </row>
  </sheetData>
  <autoFilter ref="A4:E16"/>
  <mergeCells count="2">
    <mergeCell ref="A2:E2"/>
    <mergeCell ref="A1:E1"/>
  </mergeCells>
  <printOptions horizontalCentered="1"/>
  <pageMargins left="0.45" right="0.45" top="0.7" bottom="0.55" header="0.28" footer="0.28"/>
  <pageSetup orientation="landscape" paperSize="8" fitToHeight="0" fitToWidth="1" horizontalDpi="300" verticalDpi="300"/>
  <headerFooter>
    <oddHeader>&amp;L&amp;"Meiryo UI"&amp;"Meiryo UI,Regular"&amp;9契約管理バッチサーバ　CPU高負荷の見方&amp;R&amp;"Meiryo UI,Regular"&amp;9インフラ視点　2026-10-10</oddHeader>
    <oddFooter>&amp;L&amp;"Meiryo UI,Regular"&amp;8提示されたtopの1時点。アラーム定義とインスタンスタイプ名は未参照。&amp;R&amp;"Meiryo UI,Regular"&amp;8&amp;P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555555"/>
    <outlinePr summaryBelow="1" summaryRight="1"/>
    <pageSetUpPr fitToPage="1"/>
  </sheetPr>
  <dimension ref="A1:E23"/>
  <sheetViews>
    <sheetView showGridLines="0" view="normal" zoomScale="10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4" customWidth="1" min="1" max="1"/>
    <col width="38" customWidth="1" min="2" max="2"/>
    <col width="42" customWidth="1" min="3" max="3"/>
    <col width="36" customWidth="1" min="4" max="4"/>
    <col width="22" customWidth="1" min="5" max="5"/>
  </cols>
  <sheetData>
    <row r="1" ht="34" customHeight="1">
      <c r="A1" s="20" t="inlineStr">
        <is>
          <t>監視閾値　現状は未確認、継続するならこう変える</t>
        </is>
      </c>
      <c r="B1" s="21" t="n"/>
      <c r="C1" s="21" t="n"/>
      <c r="D1" s="21" t="n"/>
      <c r="E1" s="21" t="n"/>
    </row>
    <row r="2" ht="28" customHeight="1">
      <c r="A2" s="3" t="inlineStr">
        <is>
          <t>Warning/Criticalという語から、CloudWatchそのものではない可能性が高い。数値はコンソールを見るまで空欄。</t>
        </is>
      </c>
      <c r="B2" s="4" t="n"/>
      <c r="C2" s="4" t="n"/>
      <c r="D2" s="4" t="n"/>
      <c r="E2" s="4" t="n"/>
    </row>
    <row r="3"/>
    <row r="4" ht="30" customHeight="1">
      <c r="A4" s="8" t="inlineStr">
        <is>
          <t>項目</t>
        </is>
      </c>
      <c r="B4" s="8" t="inlineStr">
        <is>
          <t>いま言えること</t>
        </is>
      </c>
      <c r="C4" s="8" t="inlineStr">
        <is>
          <t>バッチサーバでの目安</t>
        </is>
      </c>
      <c r="D4" s="8" t="inlineStr">
        <is>
          <t>鳴ったあとの行動</t>
        </is>
      </c>
      <c r="E4" s="8" t="inlineStr">
        <is>
          <t>判断</t>
        </is>
      </c>
    </row>
    <row r="5" ht="44" customHeight="1">
      <c r="A5" s="24" t="inlineStr">
        <is>
          <t>現行のパーセント</t>
        </is>
      </c>
      <c r="B5" s="10" t="inlineStr">
        <is>
          <t>未確認。EC2に固定のWarning/Criticalはない。</t>
        </is>
      </c>
      <c r="C5" s="10" t="inlineStr">
        <is>
          <t>議事録に仮の70/90を書かない。</t>
        </is>
      </c>
      <c r="D5" s="10" t="inlineStr">
        <is>
          <t>画面のキャプチャを残す。</t>
        </is>
      </c>
      <c r="E5" s="18" t="inlineStr">
        <is>
          <t>未確認</t>
        </is>
      </c>
    </row>
    <row r="6" ht="27" customHeight="1">
      <c r="A6" s="27" t="inlineStr">
        <is>
          <t>全体CPU 90%が1分</t>
        </is>
      </c>
      <c r="B6" s="13" t="inlineStr">
        <is>
          <t>今回の形だと鳴る。</t>
        </is>
      </c>
      <c r="C6" s="13" t="inlineStr">
        <is>
          <t>情報通知にとどめる。電話にしない。</t>
        </is>
      </c>
      <c r="D6" s="13" t="inlineStr">
        <is>
          <t>ダンプ開始時刻と突き合わせる。</t>
        </is>
      </c>
      <c r="E6" s="17" t="inlineStr">
        <is>
          <t>見直し</t>
        </is>
      </c>
    </row>
    <row r="7" ht="44" customHeight="1">
      <c r="A7" s="24" t="inlineStr">
        <is>
          <t>全体CPU 95%が15分継続</t>
        </is>
      </c>
      <c r="B7" s="10" t="inlineStr">
        <is>
          <t>今回の15分ロードからは、そこまで続いていない。</t>
        </is>
      </c>
      <c r="C7" s="10" t="inlineStr">
        <is>
          <t>警告。長い使い切り。</t>
        </is>
      </c>
      <c r="D7" s="10" t="inlineStr">
        <is>
          <t>処理時間とロードを見る。窓の内側なら様子見。</t>
        </is>
      </c>
      <c r="E7" s="17" t="inlineStr">
        <is>
          <t>見直し</t>
        </is>
      </c>
    </row>
    <row r="8" ht="44" customHeight="1">
      <c r="A8" s="27" t="inlineStr">
        <is>
          <t>全体CPU 95%が30分以上、かつバッチ窓の外</t>
        </is>
      </c>
      <c r="B8" s="13" t="inlineStr">
        <is>
          <t>今回の材料では該当しない。</t>
        </is>
      </c>
      <c r="C8" s="13" t="inlineStr">
        <is>
          <t>クリティカル。</t>
        </is>
      </c>
      <c r="D8" s="13" t="inlineStr">
        <is>
          <t>予定外のプロセスを特定する。</t>
        </is>
      </c>
      <c r="E8" s="17" t="inlineStr">
        <is>
          <t>見直し</t>
        </is>
      </c>
    </row>
    <row r="9" ht="27" customHeight="1">
      <c r="A9" s="24" t="inlineStr">
        <is>
          <t>ロード÷vCPUが2以上で15分</t>
        </is>
      </c>
      <c r="B9" s="10" t="inlineStr">
        <is>
          <t>今回は1分だけ2.2。15分は0.25。</t>
        </is>
      </c>
      <c r="C9" s="10" t="inlineStr">
        <is>
          <t>クリティカル候補。</t>
        </is>
      </c>
      <c r="D9" s="10" t="inlineStr">
        <is>
          <t>GCスレッドと同時実行を疑う。</t>
        </is>
      </c>
      <c r="E9" s="17" t="inlineStr">
        <is>
          <t>見直し</t>
        </is>
      </c>
    </row>
    <row r="10" ht="44" customHeight="1">
      <c r="A10" s="27" t="inlineStr">
        <is>
          <t>stealが5%以上で5分</t>
        </is>
      </c>
      <c r="B10" s="13" t="inlineStr">
        <is>
          <t>今回は0%。</t>
        </is>
      </c>
      <c r="C10" s="13" t="inlineStr">
        <is>
          <t>クリティカル。</t>
        </is>
      </c>
      <c r="D10" s="13" t="inlineStr">
        <is>
          <t>タイプ、ホスト、クレジットを確認する。</t>
        </is>
      </c>
      <c r="E10" s="22" t="inlineStr">
        <is>
          <t>想定範囲</t>
        </is>
      </c>
    </row>
    <row r="11" ht="27" customHeight="1">
      <c r="A11" s="24" t="inlineStr">
        <is>
          <t>スワップ使用の増加</t>
        </is>
      </c>
      <c r="B11" s="10" t="inlineStr">
        <is>
          <t>今回は0.2MiB。</t>
        </is>
      </c>
      <c r="C11" s="10" t="inlineStr">
        <is>
          <t>警告からクリティカル。</t>
        </is>
      </c>
      <c r="D11" s="10" t="inlineStr">
        <is>
          <t>同時実行とヒープを下げる。</t>
        </is>
      </c>
      <c r="E11" s="22" t="inlineStr">
        <is>
          <t>想定範囲</t>
        </is>
      </c>
    </row>
    <row r="12" ht="27" customHeight="1">
      <c r="A12" s="27" t="inlineStr">
        <is>
          <t>I/O待ちが10%以上で10分</t>
        </is>
      </c>
      <c r="B12" s="13" t="inlineStr">
        <is>
          <t>今回は0%。</t>
        </is>
      </c>
      <c r="C12" s="13" t="inlineStr">
        <is>
          <t>警告。CPU不足と間違えない。</t>
        </is>
      </c>
      <c r="D12" s="13" t="inlineStr">
        <is>
          <t>EBS、出力先、NFSを見る。</t>
        </is>
      </c>
      <c r="E12" s="22" t="inlineStr">
        <is>
          <t>想定範囲</t>
        </is>
      </c>
    </row>
    <row r="13" ht="44" customHeight="1">
      <c r="A13" s="24" t="inlineStr">
        <is>
          <t>ジョブの所要時間が制限超過</t>
        </is>
      </c>
      <c r="B13" s="10" t="inlineStr">
        <is>
          <t>未提示。本来のクリティカルはここ。</t>
        </is>
      </c>
      <c r="C13" s="10" t="inlineStr">
        <is>
          <t>クリティカル。</t>
        </is>
      </c>
      <c r="D13" s="10" t="inlineStr">
        <is>
          <t>マルチ、GC、SQL、サイズの順に手を入れる。</t>
        </is>
      </c>
      <c r="E13" s="16" t="inlineStr">
        <is>
          <t>実測</t>
        </is>
      </c>
    </row>
    <row r="14" ht="44" customHeight="1">
      <c r="A14" s="27" t="inlineStr">
        <is>
          <t>日次平均CPUが低い</t>
        </is>
      </c>
      <c r="B14" s="13" t="inlineStr">
        <is>
          <t>バッチ窓以外は閑散なはず。15分ロードがそれを支持。</t>
        </is>
      </c>
      <c r="C14" s="13" t="inlineStr">
        <is>
          <t>サイズ縮小の材料にはなるが、窓のピークで落とさない。</t>
        </is>
      </c>
      <c r="D14" s="13" t="inlineStr">
        <is>
          <t>ピークの所要時間が十分短いときだけ縮小を検討。</t>
        </is>
      </c>
      <c r="E14" s="23" t="inlineStr">
        <is>
          <t>条件つき</t>
        </is>
      </c>
    </row>
    <row r="15" ht="44" customHeight="1">
      <c r="A15" s="24" t="inlineStr">
        <is>
          <t>評価の抜け</t>
        </is>
      </c>
      <c r="B15" s="10" t="inlineStr">
        <is>
          <t>CPUだけではダンプの失敗は分からない。</t>
        </is>
      </c>
      <c r="C15" s="10" t="inlineStr">
        <is>
          <t>終了コード、出力件数、DBの遅延を別アラームにする。</t>
        </is>
      </c>
      <c r="D15" s="10" t="inlineStr">
        <is>
          <t>CPUが正常でも件数異常は検知する。</t>
        </is>
      </c>
      <c r="E15" s="17" t="inlineStr">
        <is>
          <t>見直し</t>
        </is>
      </c>
    </row>
    <row r="16"/>
    <row r="17" ht="27" customHeight="1">
      <c r="A17" s="5" t="inlineStr">
        <is>
          <t>確認するとき開く場所</t>
        </is>
      </c>
      <c r="B17" s="5" t="n"/>
      <c r="C17" s="5" t="n"/>
      <c r="D17" s="5" t="n"/>
      <c r="E17" s="5" t="n"/>
    </row>
    <row r="18" ht="30" customHeight="1">
      <c r="A18" s="8" t="inlineStr">
        <is>
          <t>場所</t>
        </is>
      </c>
      <c r="B18" s="8" t="inlineStr">
        <is>
          <t>見ること</t>
        </is>
      </c>
      <c r="C18" s="8" t="inlineStr">
        <is>
          <t>記録する項目</t>
        </is>
      </c>
      <c r="D18" s="8" t="inlineStr">
        <is>
          <t>間違いやすい点</t>
        </is>
      </c>
      <c r="E18" s="8" t="inlineStr">
        <is>
          <t>判断</t>
        </is>
      </c>
    </row>
    <row r="19" ht="44" customHeight="1">
      <c r="A19" s="24" t="inlineStr">
        <is>
          <t>CloudWatchアラーム</t>
        </is>
      </c>
      <c r="B19" s="10" t="inlineStr">
        <is>
          <t>CPUUtilizationのALARM</t>
        </is>
      </c>
      <c r="C19" s="10" t="inlineStr">
        <is>
          <t>閾値、期間、Datapoints to alarm、統計、次元InstanceId</t>
        </is>
      </c>
      <c r="D19" s="10" t="inlineStr">
        <is>
          <t>70%の例を、現行設定と信じない</t>
        </is>
      </c>
      <c r="E19" s="18" t="inlineStr">
        <is>
          <t>未確認</t>
        </is>
      </c>
    </row>
    <row r="20" ht="27" customHeight="1">
      <c r="A20" s="27" t="inlineStr">
        <is>
          <t>詳細監視の有無</t>
        </is>
      </c>
      <c r="B20" s="13" t="inlineStr">
        <is>
          <t>1分か5分か</t>
        </is>
      </c>
      <c r="C20" s="13" t="inlineStr">
        <is>
          <t>Enable detailed monitoring</t>
        </is>
      </c>
      <c r="D20" s="13" t="inlineStr">
        <is>
          <t>5分平均は短いスパイクを隠す</t>
        </is>
      </c>
      <c r="E20" s="18" t="inlineStr">
        <is>
          <t>未確認</t>
        </is>
      </c>
    </row>
    <row r="21" ht="27" customHeight="1">
      <c r="A21" s="24" t="inlineStr">
        <is>
          <t>JP1/PFMやHinemos等</t>
        </is>
      </c>
      <c r="B21" s="10" t="inlineStr">
        <is>
          <t>WarningとCriticalの重大度</t>
        </is>
      </c>
      <c r="C21" s="10" t="inlineStr">
        <is>
          <t>リソース名、継続時間、対象ホスト</t>
        </is>
      </c>
      <c r="D21" s="10" t="inlineStr">
        <is>
          <t>CloudWatchと二重に鳴っていないか</t>
        </is>
      </c>
      <c r="E21" s="18" t="inlineStr">
        <is>
          <t>未確認</t>
        </is>
      </c>
    </row>
    <row r="22" ht="44" customHeight="1">
      <c r="A22" s="27" t="inlineStr">
        <is>
          <t>JP1/AJS</t>
        </is>
      </c>
      <c r="B22" s="13" t="inlineStr">
        <is>
          <t>実行多重度</t>
        </is>
      </c>
      <c r="C22" s="13" t="inlineStr">
        <is>
          <t>エージェント多重度とキュー多重度の両方</t>
        </is>
      </c>
      <c r="D22" s="13" t="inlineStr">
        <is>
          <t>ジョブ内でさらにJVMを複数起動していないか</t>
        </is>
      </c>
      <c r="E22" s="16" t="inlineStr">
        <is>
          <t>実測</t>
        </is>
      </c>
    </row>
    <row r="23" ht="27" customHeight="1">
      <c r="A23" s="24" t="inlineStr">
        <is>
          <t>EC2コンソール</t>
        </is>
      </c>
      <c r="B23" s="10" t="inlineStr">
        <is>
          <t>インスタンスタイプ</t>
        </is>
      </c>
      <c r="C23" s="10" t="inlineStr">
        <is>
          <t>ファミリー、vCPU、メモリ、Nitroか</t>
        </is>
      </c>
      <c r="D23" s="10" t="inlineStr">
        <is>
          <t>topのメモリだけでタイプ名を断定しない</t>
        </is>
      </c>
      <c r="E23" s="18" t="inlineStr">
        <is>
          <t>未確認</t>
        </is>
      </c>
    </row>
  </sheetData>
  <autoFilter ref="A4:E15"/>
  <mergeCells count="3">
    <mergeCell ref="A2:E2"/>
    <mergeCell ref="A1:E1"/>
    <mergeCell ref="A17:E17"/>
  </mergeCells>
  <printOptions horizontalCentered="1"/>
  <pageMargins left="0.45" right="0.45" top="0.7" bottom="0.55" header="0.28" footer="0.28"/>
  <pageSetup orientation="landscape" paperSize="8" fitToHeight="0" fitToWidth="1" horizontalDpi="300" verticalDpi="300"/>
  <headerFooter>
    <oddHeader>&amp;L&amp;"Meiryo UI"&amp;"Meiryo UI,Regular"&amp;9契約管理バッチサーバ　CPU高負荷の見方&amp;R&amp;"Meiryo UI,Regular"&amp;9インフラ視点　2026-10-10</oddHeader>
    <oddFooter>&amp;L&amp;"Meiryo UI,Regular"&amp;8提示されたtopの1時点。アラーム定義とインスタンスタイプ名は未参照。&amp;R&amp;"Meiryo UI,Regular"&amp;8&amp;P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222222"/>
    <outlinePr summaryBelow="1" summaryRight="1"/>
    <pageSetUpPr fitToPage="1"/>
  </sheetPr>
  <dimension ref="A1:F22"/>
  <sheetViews>
    <sheetView showGridLines="0" view="normal" zoomScale="10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10" customWidth="1" min="1" max="1"/>
    <col width="28" customWidth="1" min="2" max="2"/>
    <col width="46" customWidth="1" min="3" max="3"/>
    <col width="36" customWidth="1" min="4" max="4"/>
    <col width="22" customWidth="1" min="5" max="5"/>
    <col width="28" customWidth="1" min="6" max="6"/>
  </cols>
  <sheetData>
    <row r="1" ht="34" customHeight="1">
      <c r="A1" s="20" t="inlineStr">
        <is>
          <t>対策の順番　上からやる。下は条件がそろってから</t>
        </is>
      </c>
      <c r="B1" s="21" t="n"/>
      <c r="C1" s="21" t="n"/>
      <c r="D1" s="21" t="n"/>
      <c r="E1" s="21" t="n"/>
      <c r="F1" s="21" t="n"/>
    </row>
    <row r="2" ht="28" customHeight="1">
      <c r="A2" s="3" t="inlineStr">
        <is>
          <t>今回の1時点に対する順番。処理時間がすでに制限を超えている事実があれば、4と7の順序は前倒ししてよい。その事実は未提示。</t>
        </is>
      </c>
      <c r="B2" s="4" t="n"/>
      <c r="C2" s="4" t="n"/>
      <c r="D2" s="4" t="n"/>
      <c r="E2" s="4" t="n"/>
      <c r="F2" s="4" t="n"/>
    </row>
    <row r="3"/>
    <row r="4" ht="30" customHeight="1">
      <c r="A4" s="8" t="inlineStr">
        <is>
          <t>順</t>
        </is>
      </c>
      <c r="B4" s="8" t="inlineStr">
        <is>
          <t>対策</t>
        </is>
      </c>
      <c r="C4" s="8" t="inlineStr">
        <is>
          <t>内容</t>
        </is>
      </c>
      <c r="D4" s="8" t="inlineStr">
        <is>
          <t>期待できること</t>
        </is>
      </c>
      <c r="E4" s="8" t="inlineStr">
        <is>
          <t>判断</t>
        </is>
      </c>
      <c r="F4" s="8" t="inlineStr">
        <is>
          <t>いまの要否</t>
        </is>
      </c>
    </row>
    <row r="5" ht="44" customHeight="1">
      <c r="A5" s="9" t="inlineStr">
        <is>
          <t>1</t>
        </is>
      </c>
      <c r="B5" s="10" t="inlineStr">
        <is>
          <t>障害扱いをやめる</t>
        </is>
      </c>
      <c r="C5" s="10" t="inlineStr">
        <is>
          <t>このtopを、メモリ枯渇やディスク障害やクレジット切れの証拠にしない。</t>
        </is>
      </c>
      <c r="D5" s="10" t="inlineStr">
        <is>
          <t>不要な再起動やタイプ変更を避ける。</t>
        </is>
      </c>
      <c r="E5" s="22" t="inlineStr">
        <is>
          <t>不要</t>
        </is>
      </c>
      <c r="F5" s="10" t="inlineStr">
        <is>
          <t>増強起票は出さない</t>
        </is>
      </c>
    </row>
    <row r="6" ht="44" customHeight="1">
      <c r="A6" s="12" t="inlineStr">
        <is>
          <t>2</t>
        </is>
      </c>
      <c r="B6" s="13" t="inlineStr">
        <is>
          <t>物差しを揃える</t>
        </is>
      </c>
      <c r="C6" s="13" t="inlineStr">
        <is>
          <t>監視がA全体、Bプロセス、Cコア合計のどれかを記録する。</t>
        </is>
      </c>
      <c r="D6" s="13" t="inlineStr">
        <is>
          <t>100%超えの言葉が揃う。</t>
        </is>
      </c>
      <c r="E6" s="17" t="inlineStr">
        <is>
          <t>見直し</t>
        </is>
      </c>
      <c r="F6" s="13" t="inlineStr">
        <is>
          <t>今週、画面を見る</t>
        </is>
      </c>
    </row>
    <row r="7" ht="44" customHeight="1">
      <c r="A7" s="9" t="inlineStr">
        <is>
          <t>3</t>
        </is>
      </c>
      <c r="B7" s="10" t="inlineStr">
        <is>
          <t>同時実行の実測</t>
        </is>
      </c>
      <c r="C7" s="10" t="inlineStr">
        <is>
          <t>同じダンプでマルチ8と10の終了時刻を比べる。可能なら6も1回。</t>
        </is>
      </c>
      <c r="D7" s="10" t="inlineStr">
        <is>
          <t>端数とオーバーヘッドのどちらが大きいか分かる。</t>
        </is>
      </c>
      <c r="E7" s="16" t="inlineStr">
        <is>
          <t>実測</t>
        </is>
      </c>
      <c r="F7" s="10" t="inlineStr">
        <is>
          <t>ITで1回ずつ</t>
        </is>
      </c>
    </row>
    <row r="8" ht="44" customHeight="1">
      <c r="A8" s="12" t="inlineStr">
        <is>
          <t>4</t>
        </is>
      </c>
      <c r="B8" s="13" t="inlineStr">
        <is>
          <t>JVMの見えるCPUを1にする</t>
        </is>
      </c>
      <c r="C8" s="13" t="inlineStr">
        <is>
          <t>ActiveProcessorCount=1、またはParallelGCThreads=1とConcGCThreads=1。</t>
        </is>
      </c>
      <c r="D8" s="13" t="inlineStr">
        <is>
          <t>ロードの跳ねと、GC同士の奪い合いが減る。</t>
        </is>
      </c>
      <c r="E8" s="17" t="inlineStr">
        <is>
          <t>見直し</t>
        </is>
      </c>
      <c r="F8" s="13" t="inlineStr">
        <is>
          <t>ITでフラグを付けて再計測</t>
        </is>
      </c>
    </row>
    <row r="9" ht="44" customHeight="1">
      <c r="A9" s="9" t="inlineStr">
        <is>
          <t>5</t>
        </is>
      </c>
      <c r="B9" s="10" t="inlineStr">
        <is>
          <t>警報の付け替え</t>
        </is>
      </c>
      <c r="C9" s="10" t="inlineStr">
        <is>
          <t>短時間のCPU 90%をクリティカルから外す。所要時間、長いロード、steal、swapを上げる。</t>
        </is>
      </c>
      <c r="D9" s="10" t="inlineStr">
        <is>
          <t>正常なダンプで電話が鳴らない。本当の異常は残る。</t>
        </is>
      </c>
      <c r="E9" s="17" t="inlineStr">
        <is>
          <t>見直し</t>
        </is>
      </c>
      <c r="F9" s="10" t="inlineStr">
        <is>
          <t>閾値変更を起票</t>
        </is>
      </c>
    </row>
    <row r="10" ht="44" customHeight="1">
      <c r="A10" s="12" t="inlineStr">
        <is>
          <t>6</t>
        </is>
      </c>
      <c r="B10" s="13" t="inlineStr">
        <is>
          <t>本番の前提を埋める</t>
        </is>
      </c>
      <c r="C10" s="13" t="inlineStr">
        <is>
          <t>メモリ、タイプ名、JDK、58の意味、実同時数、DBのCPU。</t>
        </is>
      </c>
      <c r="D10" s="13" t="inlineStr">
        <is>
          <t>32マルチを本番で安全に言える。</t>
        </is>
      </c>
      <c r="E10" s="18" t="inlineStr">
        <is>
          <t>未確認</t>
        </is>
      </c>
      <c r="F10" s="13" t="inlineStr">
        <is>
          <t>設計書の空欄を埋める</t>
        </is>
      </c>
    </row>
    <row r="11" ht="44" customHeight="1">
      <c r="A11" s="9" t="inlineStr">
        <is>
          <t>7</t>
        </is>
      </c>
      <c r="B11" s="10" t="inlineStr">
        <is>
          <t>スペック増強</t>
        </is>
      </c>
      <c r="C11" s="10" t="inlineStr">
        <is>
          <t>窓に入らないときだけ。C系のままvCPUを増やし、マルチも同じ割合にする。</t>
        </is>
      </c>
      <c r="D11" s="10" t="inlineStr">
        <is>
          <t>CPUバウンドの処理時間は、ほぼvCPUに反比例して縮む。</t>
        </is>
      </c>
      <c r="E11" s="23" t="inlineStr">
        <is>
          <t>条件つき</t>
        </is>
      </c>
      <c r="F11" s="10" t="inlineStr">
        <is>
          <t>3と4の後、窓超過なら</t>
        </is>
      </c>
    </row>
    <row r="12" ht="44" customHeight="1">
      <c r="A12" s="12" t="inlineStr">
        <is>
          <t>8</t>
        </is>
      </c>
      <c r="B12" s="13" t="inlineStr">
        <is>
          <t>中身の高速化</t>
        </is>
      </c>
      <c r="C12" s="13" t="inlineStr">
        <is>
          <t>1本が極端に長い表は、本数を上げても縮まない。圧縮、文字コード、SQL、分割を見る。</t>
        </is>
      </c>
      <c r="D12" s="13" t="inlineStr">
        <is>
          <t>最長の1本が縮む。</t>
        </is>
      </c>
      <c r="E12" s="23" t="inlineStr">
        <is>
          <t>条件つき</t>
        </is>
      </c>
      <c r="F12" s="13" t="inlineStr">
        <is>
          <t>最長ジョブが支配しているとき</t>
        </is>
      </c>
    </row>
    <row r="13"/>
    <row r="14" ht="36" customHeight="1">
      <c r="A14" s="5" t="inlineStr">
        <is>
          <t>増強してよい条件、まだしない条件</t>
        </is>
      </c>
      <c r="B14" s="5" t="n"/>
      <c r="C14" s="5" t="n"/>
      <c r="D14" s="5" t="n"/>
      <c r="E14" s="5" t="n"/>
      <c r="F14" s="5" t="n"/>
    </row>
    <row r="15" ht="30" customHeight="1">
      <c r="A15" s="8" t="inlineStr">
        <is>
          <t>条件</t>
        </is>
      </c>
      <c r="B15" s="8" t="inlineStr">
        <is>
          <t>状態</t>
        </is>
      </c>
      <c r="C15" s="8" t="inlineStr">
        <is>
          <t>インフラの答え</t>
        </is>
      </c>
      <c r="D15" s="8" t="inlineStr">
        <is>
          <t>理由</t>
        </is>
      </c>
      <c r="E15" s="8" t="inlineStr">
        <is>
          <t>判断</t>
        </is>
      </c>
      <c r="F15" s="8" t="inlineStr">
        <is>
          <t>次</t>
        </is>
      </c>
    </row>
    <row r="16" ht="44" customHeight="1">
      <c r="A16" s="24" t="inlineStr">
        <is>
          <t>処理が窓の内側</t>
        </is>
      </c>
      <c r="B16" s="10" t="inlineStr">
        <is>
          <t>CPUはダンプ中100%近く</t>
        </is>
      </c>
      <c r="C16" s="10" t="inlineStr">
        <is>
          <t>サイズは維持</t>
        </is>
      </c>
      <c r="D16" s="10" t="inlineStr">
        <is>
          <t>支払ったCPUを使っている。</t>
        </is>
      </c>
      <c r="E16" s="22" t="inlineStr">
        <is>
          <t>不要</t>
        </is>
      </c>
      <c r="F16" s="10" t="inlineStr">
        <is>
          <t>警報だけ直す</t>
        </is>
      </c>
    </row>
    <row r="17" ht="44" customHeight="1">
      <c r="A17" s="27" t="inlineStr">
        <is>
          <t>窓を少し超える</t>
        </is>
      </c>
      <c r="B17" s="13" t="inlineStr">
        <is>
          <t>GCフラグ未設定</t>
        </is>
      </c>
      <c r="C17" s="13" t="inlineStr">
        <is>
          <t>先にフラグとマルチ</t>
        </is>
      </c>
      <c r="D17" s="13" t="inlineStr">
        <is>
          <t>手伝いの過剰で損している可能性がある。</t>
        </is>
      </c>
      <c r="E17" s="16" t="inlineStr">
        <is>
          <t>実測</t>
        </is>
      </c>
      <c r="F17" s="13" t="inlineStr">
        <is>
          <t>フラグ後に再計測</t>
        </is>
      </c>
    </row>
    <row r="18" ht="44" customHeight="1">
      <c r="A18" s="24" t="inlineStr">
        <is>
          <t>窓を明確に超える</t>
        </is>
      </c>
      <c r="B18" s="10" t="inlineStr">
        <is>
          <t>フラグもマルチも調整済み、waは低い、DBは余裕</t>
        </is>
      </c>
      <c r="C18" s="10" t="inlineStr">
        <is>
          <t>vCPUを増やす</t>
        </is>
      </c>
      <c r="D18" s="10" t="inlineStr">
        <is>
          <t>サーバの計算が律速と確認できた。</t>
        </is>
      </c>
      <c r="E18" s="23" t="inlineStr">
        <is>
          <t>条件つき</t>
        </is>
      </c>
      <c r="F18" s="10" t="inlineStr">
        <is>
          <t>2倍にして所要を見る</t>
        </is>
      </c>
    </row>
    <row r="19" ht="44" customHeight="1">
      <c r="A19" s="27" t="inlineStr">
        <is>
          <t>waが高い</t>
        </is>
      </c>
      <c r="B19" s="13" t="inlineStr">
        <is>
          <t>CPUに空きがある</t>
        </is>
      </c>
      <c r="C19" s="13" t="inlineStr">
        <is>
          <t>CPUを増やさない</t>
        </is>
      </c>
      <c r="D19" s="13" t="inlineStr">
        <is>
          <t>ディスク待ちはコアを足しても解けない。</t>
        </is>
      </c>
      <c r="E19" s="17" t="inlineStr">
        <is>
          <t>見直し</t>
        </is>
      </c>
      <c r="F19" s="13" t="inlineStr">
        <is>
          <t>EBSと出力先</t>
        </is>
      </c>
    </row>
    <row r="20" ht="44" customHeight="1">
      <c r="A20" s="24" t="inlineStr">
        <is>
          <t>swapが増える</t>
        </is>
      </c>
      <c r="B20" s="10" t="inlineStr">
        <is>
          <t>availableが枯れる</t>
        </is>
      </c>
      <c r="C20" s="10" t="inlineStr">
        <is>
          <t>同時実行かメモリ</t>
        </is>
      </c>
      <c r="D20" s="10" t="inlineStr">
        <is>
          <t>本数×ヒープがメモリを超えている。</t>
        </is>
      </c>
      <c r="E20" s="17" t="inlineStr">
        <is>
          <t>見直し</t>
        </is>
      </c>
      <c r="F20" s="10" t="inlineStr">
        <is>
          <t>本数を下げる</t>
        </is>
      </c>
    </row>
    <row r="21" ht="44" customHeight="1">
      <c r="A21" s="27" t="inlineStr">
        <is>
          <t>stが高い</t>
        </is>
      </c>
      <c r="B21" s="13" t="inlineStr">
        <is>
          <t>クレジットかホスト</t>
        </is>
      </c>
      <c r="C21" s="13" t="inlineStr">
        <is>
          <t>タイプの確認</t>
        </is>
      </c>
      <c r="D21" s="13" t="inlineStr">
        <is>
          <t>計算の中身の前に、貸与が足りていない。</t>
        </is>
      </c>
      <c r="E21" s="17" t="inlineStr">
        <is>
          <t>見直し</t>
        </is>
      </c>
      <c r="F21" s="13" t="inlineStr">
        <is>
          <t>T系なら固定性能へ</t>
        </is>
      </c>
    </row>
    <row r="22" ht="44" customHeight="1">
      <c r="A22" s="24" t="inlineStr">
        <is>
          <t>DBが先に100%</t>
        </is>
      </c>
      <c r="B22" s="10" t="inlineStr">
        <is>
          <t>バッチサーバは軽い</t>
        </is>
      </c>
      <c r="C22" s="10" t="inlineStr">
        <is>
          <t>マルチを上げない</t>
        </is>
      </c>
      <c r="D22" s="10" t="inlineStr">
        <is>
          <t>被害がDBへ移る。</t>
        </is>
      </c>
      <c r="E22" s="17" t="inlineStr">
        <is>
          <t>見直し</t>
        </is>
      </c>
      <c r="F22" s="10" t="inlineStr">
        <is>
          <t>DB側と同時に見る</t>
        </is>
      </c>
    </row>
  </sheetData>
  <autoFilter ref="A4:F12"/>
  <mergeCells count="3">
    <mergeCell ref="A2:F2"/>
    <mergeCell ref="A14:F14"/>
    <mergeCell ref="A1:F1"/>
  </mergeCells>
  <printOptions horizontalCentered="1"/>
  <pageMargins left="0.45" right="0.45" top="0.7" bottom="0.55" header="0.28" footer="0.28"/>
  <pageSetup orientation="landscape" paperSize="8" fitToHeight="0" fitToWidth="1" horizontalDpi="300" verticalDpi="300"/>
  <headerFooter>
    <oddHeader>&amp;L&amp;"Meiryo UI"&amp;"Meiryo UI,Regular"&amp;9契約管理バッチサーバ　CPU高負荷の見方&amp;R&amp;"Meiryo UI,Regular"&amp;9インフラ視点　2026-10-10</oddHeader>
    <oddFooter>&amp;L&amp;"Meiryo UI,Regular"&amp;8提示されたtopの1時点。アラーム定義とインスタンスタイプ名は未参照。&amp;R&amp;"Meiryo UI,Regular"&amp;8&amp;P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3F3F3F"/>
    <outlinePr summaryBelow="1" summaryRight="1"/>
    <pageSetUpPr fitToPage="1"/>
  </sheetPr>
  <dimension ref="A1:E16"/>
  <sheetViews>
    <sheetView showGridLines="0" view="normal" zoomScale="10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34" customWidth="1" min="1" max="1"/>
    <col width="44" customWidth="1" min="2" max="2"/>
    <col width="40" customWidth="1" min="3" max="3"/>
    <col width="36" customWidth="1" min="4" max="4"/>
    <col width="22" customWidth="1" min="5" max="5"/>
  </cols>
  <sheetData>
    <row r="1" ht="34" customHeight="1">
      <c r="A1" s="20" t="inlineStr">
        <is>
          <t>次に取る記録　コマンドは確認用。本番変更手順ではない</t>
        </is>
      </c>
      <c r="B1" s="21" t="n"/>
      <c r="C1" s="21" t="n"/>
      <c r="D1" s="21" t="n"/>
      <c r="E1" s="21" t="n"/>
    </row>
    <row r="2" ht="28" customHeight="1">
      <c r="A2" s="3" t="inlineStr">
        <is>
          <t>取得タイミングは、ダンプ開始直前、開始1分後、ピーク中、終了直後の4点。1点だけでは今回と同じスナップショットになる。</t>
        </is>
      </c>
      <c r="B2" s="4" t="n"/>
      <c r="C2" s="4" t="n"/>
      <c r="D2" s="4" t="n"/>
      <c r="E2" s="4" t="n"/>
    </row>
    <row r="3"/>
    <row r="4" ht="30" customHeight="1">
      <c r="A4" s="8" t="inlineStr">
        <is>
          <t>取ること</t>
        </is>
      </c>
      <c r="B4" s="8" t="inlineStr">
        <is>
          <t>例</t>
        </is>
      </c>
      <c r="C4" s="8" t="inlineStr">
        <is>
          <t>合格の目安</t>
        </is>
      </c>
      <c r="D4" s="8" t="inlineStr">
        <is>
          <t>注意</t>
        </is>
      </c>
      <c r="E4" s="8" t="inlineStr">
        <is>
          <t>判断</t>
        </is>
      </c>
    </row>
    <row r="5" ht="44" customHeight="1">
      <c r="A5" s="24" t="inlineStr">
        <is>
          <t>論理CPU数</t>
        </is>
      </c>
      <c r="B5" s="10" t="inlineStr">
        <is>
          <t>nproc</t>
        </is>
      </c>
      <c r="C5" s="10" t="inlineStr">
        <is>
          <t>話しているvCPUと一致する。ITなら8、本番なら32。</t>
        </is>
      </c>
      <c r="D5" s="10" t="inlineStr">
        <is>
          <t>物理コア数と違うことがある。</t>
        </is>
      </c>
      <c r="E5" s="18" t="inlineStr">
        <is>
          <t>未確認</t>
        </is>
      </c>
    </row>
    <row r="6" ht="27" customHeight="1">
      <c r="A6" s="27" t="inlineStr">
        <is>
          <t>タイプ名</t>
        </is>
      </c>
      <c r="B6" s="13" t="inlineStr">
        <is>
          <t>EC2コンソールのInstance type</t>
        </is>
      </c>
      <c r="C6" s="13" t="inlineStr">
        <is>
          <t>8vCPUかつ16GiB前後ならC系2xlargeの系統。</t>
        </is>
      </c>
      <c r="D6" s="13" t="inlineStr">
        <is>
          <t>topのメモリだけで名前を確定しない。</t>
        </is>
      </c>
      <c r="E6" s="18" t="inlineStr">
        <is>
          <t>未確認</t>
        </is>
      </c>
    </row>
    <row r="7" ht="44" customHeight="1">
      <c r="A7" s="24" t="inlineStr">
        <is>
          <t>1秒ごとの全体CPU</t>
        </is>
      </c>
      <c r="B7" s="10" t="inlineStr">
        <is>
          <t>mpstat -P ALL 1 30</t>
        </is>
      </c>
      <c r="C7" s="10" t="inlineStr">
        <is>
          <t>ダンプ中はallの%usrが高い。%iowaitと%stealは低い。</t>
        </is>
      </c>
      <c r="D7" s="10" t="inlineStr">
        <is>
          <t>平均だけを見ず、コアごとの偏りも見る。1コアだけ100%なら別問題。</t>
        </is>
      </c>
      <c r="E7" s="16" t="inlineStr">
        <is>
          <t>実測</t>
        </is>
      </c>
    </row>
    <row r="8" ht="27" customHeight="1">
      <c r="A8" s="27" t="inlineStr">
        <is>
          <t>ロードの推移</t>
        </is>
      </c>
      <c r="B8" s="13" t="inlineStr">
        <is>
          <t>cat /proc/loadavg を1分間隔</t>
        </is>
      </c>
      <c r="C8" s="13" t="inlineStr">
        <is>
          <t>終了後、1分値がvCPU以下へ戻る。</t>
        </is>
      </c>
      <c r="D8" s="13" t="inlineStr">
        <is>
          <t>1点の17.59を恒常値と呼ばない。</t>
        </is>
      </c>
      <c r="E8" s="16" t="inlineStr">
        <is>
          <t>実測</t>
        </is>
      </c>
    </row>
    <row r="9" ht="44" customHeight="1">
      <c r="A9" s="24" t="inlineStr">
        <is>
          <t>スレッド付きのtop</t>
        </is>
      </c>
      <c r="B9" s="10" t="inlineStr">
        <is>
          <t>top -H -b -n 1</t>
        </is>
      </c>
      <c r="C9" s="10" t="inlineStr">
        <is>
          <t>javaの中のGCやCompilerの本数が分かる。</t>
        </is>
      </c>
      <c r="D9" s="10" t="inlineStr">
        <is>
          <t>通常のtopはプロセス単位。ロードと数がずれる理由がここ。</t>
        </is>
      </c>
      <c r="E9" s="16" t="inlineStr">
        <is>
          <t>実測</t>
        </is>
      </c>
    </row>
    <row r="10" ht="44" customHeight="1">
      <c r="A10" s="27" t="inlineStr">
        <is>
          <t>JVMの認識CPU</t>
        </is>
      </c>
      <c r="B10" s="13" t="inlineStr">
        <is>
          <t>jcmd &lt;pid&gt; VM.flags または java -XX:+PrintFlagsFinal -version</t>
        </is>
      </c>
      <c r="C10" s="13" t="inlineStr">
        <is>
          <t>ActiveProcessorCountを付けたあと、ParallelGCThreadsが1になる。</t>
        </is>
      </c>
      <c r="D10" s="13" t="inlineStr">
        <is>
          <t>フラグが存在しない古いJDKがある。</t>
        </is>
      </c>
      <c r="E10" s="16" t="inlineStr">
        <is>
          <t>実測</t>
        </is>
      </c>
    </row>
    <row r="11" ht="44" customHeight="1">
      <c r="A11" s="24" t="inlineStr">
        <is>
          <t>Javaの版</t>
        </is>
      </c>
      <c r="B11" s="10" t="inlineStr">
        <is>
          <t>java -version</t>
        </is>
      </c>
      <c r="C11" s="10" t="inlineStr">
        <is>
          <t>8u191以降または11以降なら、見えるCPUの宣言がしやすい。</t>
        </is>
      </c>
      <c r="D11" s="10" t="inlineStr">
        <is>
          <t>ジョブごとに別のJDKを呼んでいないか。</t>
        </is>
      </c>
      <c r="E11" s="18" t="inlineStr">
        <is>
          <t>未確認</t>
        </is>
      </c>
    </row>
    <row r="12" ht="27" customHeight="1">
      <c r="A12" s="27" t="inlineStr">
        <is>
          <t>メモリの推移</t>
        </is>
      </c>
      <c r="B12" s="13" t="inlineStr">
        <is>
          <t>free -m を開始前とピークで</t>
        </is>
      </c>
      <c r="C12" s="13" t="inlineStr">
        <is>
          <t>availableが十分残り、swap usedが増えない。</t>
        </is>
      </c>
      <c r="D12" s="13" t="inlineStr">
        <is>
          <t>freeの減少だけで不足と判定しない。</t>
        </is>
      </c>
      <c r="E12" s="16" t="inlineStr">
        <is>
          <t>実測</t>
        </is>
      </c>
    </row>
    <row r="13" ht="44" customHeight="1">
      <c r="A13" s="24" t="inlineStr">
        <is>
          <t>ディスク</t>
        </is>
      </c>
      <c r="B13" s="10" t="inlineStr">
        <is>
          <t>iostat -xz 1 10</t>
        </is>
      </c>
      <c r="C13" s="10" t="inlineStr">
        <is>
          <t>ダンプ中も%utilが張り付かず、awaitが急増しない。</t>
        </is>
      </c>
      <c r="D13" s="10" t="inlineStr">
        <is>
          <t>今回waが0でも、出力がキャッシュから溢れれば後で出る。</t>
        </is>
      </c>
      <c r="E13" s="16" t="inlineStr">
        <is>
          <t>実測</t>
        </is>
      </c>
    </row>
    <row r="14" ht="44" customHeight="1">
      <c r="A14" s="27" t="inlineStr">
        <is>
          <t>JP1の実同時数</t>
        </is>
      </c>
      <c r="B14" s="13" t="inlineStr">
        <is>
          <t>実行中ジョブ一覧と多重度の定義</t>
        </is>
      </c>
      <c r="C14" s="13" t="inlineStr">
        <is>
          <t>定義値と、ピーク時のjavaプロセス数が一致する。</t>
        </is>
      </c>
      <c r="D14" s="13" t="inlineStr">
        <is>
          <t>キュー多重度とエージェント多重度の小さい側が効く。</t>
        </is>
      </c>
      <c r="E14" s="16" t="inlineStr">
        <is>
          <t>実測</t>
        </is>
      </c>
    </row>
    <row r="15" ht="27" customHeight="1">
      <c r="A15" s="24" t="inlineStr">
        <is>
          <t>所要時間</t>
        </is>
      </c>
      <c r="B15" s="10" t="inlineStr">
        <is>
          <t>ジョブ開始と終了の実績</t>
        </is>
      </c>
      <c r="C15" s="10" t="inlineStr">
        <is>
          <t>業務の制限時間の内側。</t>
        </is>
      </c>
      <c r="D15" s="10" t="inlineStr">
        <is>
          <t>CPU%ではなく、ここが増強判断の入力。</t>
        </is>
      </c>
      <c r="E15" s="16" t="inlineStr">
        <is>
          <t>実測</t>
        </is>
      </c>
    </row>
    <row r="16" ht="44" customHeight="1">
      <c r="A16" s="27" t="inlineStr">
        <is>
          <t>DB側</t>
        </is>
      </c>
      <c r="B16" s="13" t="inlineStr">
        <is>
          <t>DBのCPU、読み取りI/O、接続数</t>
        </is>
      </c>
      <c r="C16" s="13" t="inlineStr">
        <is>
          <t>ダンプのピークでDBが先に頭打ちでない。</t>
        </is>
      </c>
      <c r="D16" s="13" t="inlineStr">
        <is>
          <t>バッチサーバだけを見てマルチを上げない。</t>
        </is>
      </c>
      <c r="E16" s="16" t="inlineStr">
        <is>
          <t>実測</t>
        </is>
      </c>
    </row>
  </sheetData>
  <autoFilter ref="A4:E16"/>
  <mergeCells count="2">
    <mergeCell ref="A2:E2"/>
    <mergeCell ref="A1:E1"/>
  </mergeCells>
  <printOptions horizontalCentered="1"/>
  <pageMargins left="0.45" right="0.45" top="0.7" bottom="0.55" header="0.28" footer="0.28"/>
  <pageSetup orientation="landscape" paperSize="8" fitToHeight="0" fitToWidth="1" horizontalDpi="300" verticalDpi="300"/>
  <headerFooter>
    <oddHeader>&amp;L&amp;"Meiryo UI"&amp;"Meiryo UI,Regular"&amp;9契約管理バッチサーバ　CPU高負荷の見方&amp;R&amp;"Meiryo UI,Regular"&amp;9インフラ視点　2026-10-10</oddHeader>
    <oddFooter>&amp;L&amp;"Meiryo UI,Regular"&amp;8提示されたtopの1時点。アラーム定義とインスタンスタイプ名は未参照。&amp;R&amp;"Meiryo UI,Regular"&amp;8&amp;P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4F4F4F"/>
    <outlinePr summaryBelow="1" summaryRight="1"/>
    <pageSetUpPr fitToPage="1"/>
  </sheetPr>
  <dimension ref="A1:D29"/>
  <sheetViews>
    <sheetView showGridLines="0" view="normal" zoomScale="10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4" customWidth="1" min="1" max="1"/>
    <col width="50" customWidth="1" min="2" max="2"/>
    <col width="50" customWidth="1" min="3" max="3"/>
    <col width="36" customWidth="1" min="4" max="4"/>
  </cols>
  <sheetData>
    <row r="1" ht="34" customHeight="1">
      <c r="A1" s="20" t="inlineStr">
        <is>
          <t>用語　まず店の言葉で、次に機械の言葉で</t>
        </is>
      </c>
      <c r="B1" s="21" t="n"/>
      <c r="C1" s="21" t="n"/>
      <c r="D1" s="21" t="n"/>
    </row>
    <row r="2" ht="28" customHeight="1">
      <c r="A2" s="3" t="inlineStr">
        <is>
          <t>上の行から読めば、この資料の言葉がひととおり揃う。</t>
        </is>
      </c>
      <c r="B2" s="4" t="n"/>
      <c r="C2" s="4" t="n"/>
      <c r="D2" s="4" t="n"/>
    </row>
    <row r="3"/>
    <row r="4" ht="30" customHeight="1">
      <c r="A4" s="8" t="inlineStr">
        <is>
          <t>用語</t>
        </is>
      </c>
      <c r="B4" s="8" t="inlineStr">
        <is>
          <t>小学生向けの説明</t>
        </is>
      </c>
      <c r="C4" s="8" t="inlineStr">
        <is>
          <t>もう少し正確な説明</t>
        </is>
      </c>
      <c r="D4" s="8" t="inlineStr">
        <is>
          <t>今回の値</t>
        </is>
      </c>
    </row>
    <row r="5" ht="44" customHeight="1">
      <c r="A5" s="24" t="inlineStr">
        <is>
          <t>CPU</t>
        </is>
      </c>
      <c r="B5" s="10" t="inlineStr">
        <is>
          <t>計算をする人。</t>
        </is>
      </c>
      <c r="C5" s="10" t="inlineStr">
        <is>
          <t>プログラムの命令を実行する装置。EC2ではvCPUという貸与単位で数える。</t>
        </is>
      </c>
      <c r="D5" s="10" t="inlineStr">
        <is>
          <t>8個の計算枠</t>
        </is>
      </c>
    </row>
    <row r="6" ht="44" customHeight="1">
      <c r="A6" s="27" t="inlineStr">
        <is>
          <t>vCPU</t>
        </is>
      </c>
      <c r="B6" s="13" t="inlineStr">
        <is>
          <t>借りているレジの台数。</t>
        </is>
      </c>
      <c r="C6" s="13" t="inlineStr">
        <is>
          <t>仮想CPU。現行の多くのインスタンスでは、物理コアの同時マルチスレッド1本に対応する。</t>
        </is>
      </c>
      <c r="D6" s="13" t="inlineStr">
        <is>
          <t>ITは8、本番は32</t>
        </is>
      </c>
    </row>
    <row r="7" ht="44" customHeight="1">
      <c r="A7" s="24" t="inlineStr">
        <is>
          <t>コア</t>
        </is>
      </c>
      <c r="B7" s="10" t="inlineStr">
        <is>
          <t>計算する机そのもの。</t>
        </is>
      </c>
      <c r="C7" s="10" t="inlineStr">
        <is>
          <t>物理コア。ハイパースレッディングがあると、1コアが論理CPU 2つに見える。</t>
        </is>
      </c>
      <c r="D7" s="10" t="inlineStr">
        <is>
          <t>8vCPUが4コアの可能性あり</t>
        </is>
      </c>
    </row>
    <row r="8" ht="44" customHeight="1">
      <c r="A8" s="27" t="inlineStr">
        <is>
          <t>JVM</t>
        </is>
      </c>
      <c r="B8" s="13" t="inlineStr">
        <is>
          <t>Javaの仕事を進める係がいる小屋。</t>
        </is>
      </c>
      <c r="C8" s="13" t="inlineStr">
        <is>
          <t>Java Virtual Machine。javaプロセス1つ。ヒープ、GC、JITを自分で持つ。</t>
        </is>
      </c>
      <c r="D8" s="13" t="inlineStr">
        <is>
          <t>ITは10小屋</t>
        </is>
      </c>
    </row>
    <row r="9" ht="27" customHeight="1">
      <c r="A9" s="24" t="inlineStr">
        <is>
          <t>スレッド</t>
        </is>
      </c>
      <c r="B9" s="10" t="inlineStr">
        <is>
          <t>小屋の中の作業員。</t>
        </is>
      </c>
      <c r="C9" s="10" t="inlineStr">
        <is>
          <t>OSがスケジュールする実行単位。1プロセスに複数いる。</t>
        </is>
      </c>
      <c r="D9" s="10" t="inlineStr">
        <is>
          <t>ロードはこちらを数える</t>
        </is>
      </c>
    </row>
    <row r="10" ht="44" customHeight="1">
      <c r="A10" s="27" t="inlineStr">
        <is>
          <t>GC</t>
        </is>
      </c>
      <c r="B10" s="13" t="inlineStr">
        <is>
          <t>使った紙を集めて机を空ける係。</t>
        </is>
      </c>
      <c r="C10" s="13" t="inlineStr">
        <is>
          <t>ガベージコレクション。不要オブジェクトを回収する。並行数は見えるCPU数から自動で決まる。</t>
        </is>
      </c>
      <c r="D10" s="13" t="inlineStr">
        <is>
          <t>未設定ならJVMごとに最大8</t>
        </is>
      </c>
    </row>
    <row r="11" ht="27" customHeight="1">
      <c r="A11" s="24" t="inlineStr">
        <is>
          <t>JIT</t>
        </is>
      </c>
      <c r="B11" s="10" t="inlineStr">
        <is>
          <t>繰り返しの計算を、あらかじめ速い手順に書き直す係。</t>
        </is>
      </c>
      <c r="C11" s="10" t="inlineStr">
        <is>
          <t>Just-In-Timeコンパイラ。起動直後にCPUを使う。</t>
        </is>
      </c>
      <c r="D11" s="10" t="inlineStr">
        <is>
          <t>開始1分の高さの一因</t>
        </is>
      </c>
    </row>
    <row r="12" ht="44" customHeight="1">
      <c r="A12" s="27" t="inlineStr">
        <is>
          <t>JP1</t>
        </is>
      </c>
      <c r="B12" s="13" t="inlineStr">
        <is>
          <t>仕事の順番を管理する掲示板。</t>
        </is>
      </c>
      <c r="C12" s="13" t="inlineStr">
        <is>
          <t>日立のジョブ管理製品。バッチの起動、順序、多重度を扱う。</t>
        </is>
      </c>
      <c r="D12" s="13" t="inlineStr">
        <is>
          <t>マルチの指定元</t>
        </is>
      </c>
    </row>
    <row r="13" ht="44" customHeight="1">
      <c r="A13" s="24" t="inlineStr">
        <is>
          <t>マルチ（多重度）</t>
        </is>
      </c>
      <c r="B13" s="10" t="inlineStr">
        <is>
          <t>同時に店へ入れる人数の札。</t>
        </is>
      </c>
      <c r="C13" s="10" t="inlineStr">
        <is>
          <t>同時実行できるジョブ数の上限。速度と保護の両方のつまみ。</t>
        </is>
      </c>
      <c r="D13" s="10" t="inlineStr">
        <is>
          <t>ITは10</t>
        </is>
      </c>
    </row>
    <row r="14" ht="44" customHeight="1">
      <c r="A14" s="27" t="inlineStr">
        <is>
          <t>ロードアベレージ</t>
        </is>
      </c>
      <c r="B14" s="13" t="inlineStr">
        <is>
          <t>会計したい人の人数の平均。</t>
        </is>
      </c>
      <c r="C14" s="13" t="inlineStr">
        <is>
          <t>1、5、15分の指数移動平均。実行可能タスクと、割り込み不能スリープを含む。割合ではない。</t>
        </is>
      </c>
      <c r="D14" s="13" t="inlineStr">
        <is>
          <t>17.59 / 5.03 / 1.99</t>
        </is>
      </c>
    </row>
    <row r="15" ht="27" customHeight="1">
      <c r="A15" s="24" t="inlineStr">
        <is>
          <t>ランキュー</t>
        </is>
      </c>
      <c r="B15" s="10" t="inlineStr">
        <is>
          <t>レジの前の列。</t>
        </is>
      </c>
      <c r="C15" s="10" t="inlineStr">
        <is>
          <t>CPUを待っているタスクの待ち行列。</t>
        </is>
      </c>
      <c r="D15" s="10" t="inlineStr">
        <is>
          <t>1分値から、列があった</t>
        </is>
      </c>
    </row>
    <row r="16" ht="44" customHeight="1">
      <c r="A16" s="27" t="inlineStr">
        <is>
          <t>%CPU</t>
        </is>
      </c>
      <c r="B16" s="13" t="inlineStr">
        <is>
          <t>道具によって意味が変わる使用率。</t>
        </is>
      </c>
      <c r="C16" s="13" t="inlineStr">
        <is>
          <t>topのプロセス行は1コア＝100%。合計行とCloudWatchはマシン全体＝100%。</t>
        </is>
      </c>
      <c r="D16" s="13" t="inlineStr">
        <is>
          <t>プロセスは最大125.5</t>
        </is>
      </c>
    </row>
    <row r="17" ht="27" customHeight="1">
      <c r="A17" s="24" t="inlineStr">
        <is>
          <t>us</t>
        </is>
      </c>
      <c r="B17" s="10" t="inlineStr">
        <is>
          <t>アプリが計算している割合。</t>
        </is>
      </c>
      <c r="C17" s="10" t="inlineStr">
        <is>
          <t>ユーザモードCPU。</t>
        </is>
      </c>
      <c r="D17" s="10" t="inlineStr">
        <is>
          <t>95.9%</t>
        </is>
      </c>
    </row>
    <row r="18" ht="27" customHeight="1">
      <c r="A18" s="27" t="inlineStr">
        <is>
          <t>sy</t>
        </is>
      </c>
      <c r="B18" s="13" t="inlineStr">
        <is>
          <t>OSが手伝っている割合。</t>
        </is>
      </c>
      <c r="C18" s="13" t="inlineStr">
        <is>
          <t>カーネルモードCPU。</t>
        </is>
      </c>
      <c r="D18" s="13" t="inlineStr">
        <is>
          <t>3.1%</t>
        </is>
      </c>
    </row>
    <row r="19" ht="27" customHeight="1">
      <c r="A19" s="24" t="inlineStr">
        <is>
          <t>wa</t>
        </is>
      </c>
      <c r="B19" s="10" t="inlineStr">
        <is>
          <t>ディスク待ちでCPUが暇だった割合。</t>
        </is>
      </c>
      <c r="C19" s="10" t="inlineStr">
        <is>
          <t>I/O wait。高いときはCPU不足ではない。</t>
        </is>
      </c>
      <c r="D19" s="10" t="inlineStr">
        <is>
          <t>0.0%</t>
        </is>
      </c>
    </row>
    <row r="20" ht="27" customHeight="1">
      <c r="A20" s="27" t="inlineStr">
        <is>
          <t>st</t>
        </is>
      </c>
      <c r="B20" s="13" t="inlineStr">
        <is>
          <t>貸してもらえなかったCPUの割合。</t>
        </is>
      </c>
      <c r="C20" s="13" t="inlineStr">
        <is>
          <t>steal time。</t>
        </is>
      </c>
      <c r="D20" s="13" t="inlineStr">
        <is>
          <t>0.0%</t>
        </is>
      </c>
    </row>
    <row r="21" ht="27" customHeight="1">
      <c r="A21" s="24" t="inlineStr">
        <is>
          <t>hi / si</t>
        </is>
      </c>
      <c r="B21" s="10" t="inlineStr">
        <is>
          <t>機械や通信からの呼び出し。</t>
        </is>
      </c>
      <c r="C21" s="10" t="inlineStr">
        <is>
          <t>ハード割り込みとソフト割り込み。原文のh1はhi。</t>
        </is>
      </c>
      <c r="D21" s="10" t="inlineStr">
        <is>
          <t>0.8%と0.1%</t>
        </is>
      </c>
    </row>
    <row r="22" ht="27" customHeight="1">
      <c r="A22" s="27" t="inlineStr">
        <is>
          <t>buff/cache</t>
        </is>
      </c>
      <c r="B22" s="13" t="inlineStr">
        <is>
          <t>もう一度使うかもしれない下書きの山。</t>
        </is>
      </c>
      <c r="C22" s="13" t="inlineStr">
        <is>
          <t>ページキャッシュとバッファ。必要なら解放できる。</t>
        </is>
      </c>
      <c r="D22" s="13" t="inlineStr">
        <is>
          <t>約8.7GiB</t>
        </is>
      </c>
    </row>
    <row r="23" ht="44" customHeight="1">
      <c r="A23" s="24" t="inlineStr">
        <is>
          <t>available</t>
        </is>
      </c>
      <c r="B23" s="10" t="inlineStr">
        <is>
          <t>本当に使える机。</t>
        </is>
      </c>
      <c r="C23" s="10" t="inlineStr">
        <is>
          <t>新規確保に回せるメモリ。freeに、戻せるキャッシュを足した実用値。</t>
        </is>
      </c>
      <c r="D23" s="10" t="inlineStr">
        <is>
          <t>約9.6GiB</t>
        </is>
      </c>
    </row>
    <row r="24" ht="27" customHeight="1">
      <c r="A24" s="27" t="inlineStr">
        <is>
          <t>swap</t>
        </is>
      </c>
      <c r="B24" s="13" t="inlineStr">
        <is>
          <t>遠い倉庫への退避。</t>
        </is>
      </c>
      <c r="C24" s="13" t="inlineStr">
        <is>
          <t>物理メモリが足りないときのディスク領域。</t>
        </is>
      </c>
      <c r="D24" s="13" t="inlineStr">
        <is>
          <t>使用0.2MiB</t>
        </is>
      </c>
    </row>
    <row r="25" ht="27" customHeight="1">
      <c r="A25" s="24" t="inlineStr">
        <is>
          <t>ゾンビ</t>
        </is>
      </c>
      <c r="B25" s="10" t="inlineStr">
        <is>
          <t>終わったのに伝票が残った仕事。</t>
        </is>
      </c>
      <c r="C25" s="10" t="inlineStr">
        <is>
          <t>親がwaitしていない終了プロセス。</t>
        </is>
      </c>
      <c r="D25" s="10" t="inlineStr">
        <is>
          <t>0</t>
        </is>
      </c>
    </row>
    <row r="26" ht="44" customHeight="1">
      <c r="A26" s="27" t="inlineStr">
        <is>
          <t>Nitro</t>
        </is>
      </c>
      <c r="B26" s="13" t="inlineStr">
        <is>
          <t>今のEC2の土台。</t>
        </is>
      </c>
      <c r="C26" s="13" t="inlineStr">
        <is>
          <t>AWSの仮想化基盤。vCPUの専有性が高く、stealは通常ほぼ出ない。</t>
        </is>
      </c>
      <c r="D26" s="13" t="inlineStr">
        <is>
          <t>st 0と整合</t>
        </is>
      </c>
    </row>
    <row r="27" ht="44" customHeight="1">
      <c r="A27" s="24" t="inlineStr">
        <is>
          <t>ActiveProcessorCount</t>
        </is>
      </c>
      <c r="B27" s="10" t="inlineStr">
        <is>
          <t>この小屋から見えるレジの数を宣言する札。</t>
        </is>
      </c>
      <c r="C27" s="10" t="inlineStr">
        <is>
          <t>JVMのエルゴノミクスが参照するプロセッサ数を上書きするフラグ。</t>
        </is>
      </c>
      <c r="D27" s="10" t="inlineStr">
        <is>
          <t>未設定と推定</t>
        </is>
      </c>
    </row>
    <row r="28" ht="27" customHeight="1">
      <c r="A28" s="27" t="inlineStr">
        <is>
          <t>CPUUtilization</t>
        </is>
      </c>
      <c r="B28" s="13" t="inlineStr">
        <is>
          <t>AWSが配る、全体の0〜100の使用率。</t>
        </is>
      </c>
      <c r="C28" s="13" t="inlineStr">
        <is>
          <t>CloudWatchのEC2メトリクス。平均。100が上限。</t>
        </is>
      </c>
      <c r="D28" s="13" t="inlineStr">
        <is>
          <t>約99%相当の瞬間</t>
        </is>
      </c>
    </row>
    <row r="29" ht="44" customHeight="1">
      <c r="A29" s="24" t="inlineStr">
        <is>
          <t>クリティカル</t>
        </is>
      </c>
      <c r="B29" s="10" t="inlineStr">
        <is>
          <t>監視が「今すぐ見て」と言う重大度。</t>
        </is>
      </c>
      <c r="C29" s="10" t="inlineStr">
        <is>
          <t>製品によって定義が違う。CloudWatchの状態名そのものではない。</t>
        </is>
      </c>
      <c r="D29" s="10" t="inlineStr">
        <is>
          <t>今回鳴った、と聞いている</t>
        </is>
      </c>
    </row>
  </sheetData>
  <autoFilter ref="A4:D29"/>
  <mergeCells count="2">
    <mergeCell ref="A1:D1"/>
    <mergeCell ref="A2:D2"/>
  </mergeCells>
  <printOptions horizontalCentered="1"/>
  <pageMargins left="0.45" right="0.45" top="0.7" bottom="0.55" header="0.28" footer="0.28"/>
  <pageSetup orientation="landscape" paperSize="8" fitToHeight="0" fitToWidth="1" horizontalDpi="300" verticalDpi="300"/>
  <headerFooter>
    <oddHeader>&amp;L&amp;"Meiryo UI"&amp;"Meiryo UI,Regular"&amp;9契約管理バッチサーバ　CPU高負荷の見方&amp;R&amp;"Meiryo UI,Regular"&amp;9インフラ視点　2026-10-10</oddHeader>
    <oddFooter>&amp;L&amp;"Meiryo UI,Regular"&amp;8提示されたtopの1時点。アラーム定義とインスタンスタイプ名は未参照。&amp;R&amp;"Meiryo UI,Regular"&amp;8&amp;P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2F2F2F"/>
    <outlinePr summaryBelow="1" summaryRight="1"/>
    <pageSetUpPr fitToPage="1"/>
  </sheetPr>
  <dimension ref="A1:G87"/>
  <sheetViews>
    <sheetView showGridLines="0" view="normal" zoomScale="10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42" customWidth="1" min="1" max="1"/>
    <col width="18" customWidth="1" min="2" max="2"/>
    <col width="22" customWidth="1" min="3" max="3"/>
    <col width="62" customWidth="1" min="4" max="4"/>
    <col width="28" customWidth="1" min="5" max="5"/>
    <col width="16" customWidth="1" min="6" max="6"/>
    <col width="16" customWidth="1" min="7" max="7"/>
  </cols>
  <sheetData>
    <row r="1" ht="34" customHeight="1">
      <c r="A1" s="20" t="inlineStr">
        <is>
          <t>計算シート　灰色の太枠だけ入力する</t>
        </is>
      </c>
      <c r="B1" s="21" t="n"/>
      <c r="C1" s="21" t="n"/>
      <c r="D1" s="21" t="n"/>
      <c r="E1" s="21" t="n"/>
    </row>
    <row r="2" ht="28" customHeight="1">
      <c r="A2" s="3" t="inlineStr">
        <is>
          <t>他のシートの値と終了指数は、このシートを参照する。文章の判定は自動では変わらない。</t>
        </is>
      </c>
      <c r="B2" s="4" t="n"/>
      <c r="C2" s="4" t="n"/>
      <c r="D2" s="4" t="n"/>
      <c r="E2" s="4" t="n"/>
    </row>
    <row r="3"/>
    <row r="4" ht="30" customHeight="1">
      <c r="A4" s="8" t="inlineStr">
        <is>
          <t>入力項目</t>
        </is>
      </c>
      <c r="B4" s="8" t="inlineStr">
        <is>
          <t>値</t>
        </is>
      </c>
      <c r="C4" s="8" t="inlineStr">
        <is>
          <t>単位</t>
        </is>
      </c>
      <c r="D4" s="8" t="inlineStr">
        <is>
          <t>説明</t>
        </is>
      </c>
      <c r="E4" s="8" t="inlineStr">
        <is>
          <t>名前</t>
        </is>
      </c>
    </row>
    <row r="5" ht="27" customHeight="1">
      <c r="A5" s="24" t="inlineStr">
        <is>
          <t>ITのvCPU</t>
        </is>
      </c>
      <c r="B5" s="35" t="n">
        <v>8</v>
      </c>
      <c r="C5" s="11" t="inlineStr">
        <is>
          <t>個</t>
        </is>
      </c>
      <c r="D5" s="10" t="inlineStr">
        <is>
          <t>提示値。論理CPU。</t>
        </is>
      </c>
      <c r="E5" s="11" t="inlineStr">
        <is>
          <t>IT_VCPU</t>
        </is>
      </c>
    </row>
    <row r="6" ht="27" customHeight="1">
      <c r="A6" s="24" t="inlineStr">
        <is>
          <t>ロード 1分</t>
        </is>
      </c>
      <c r="B6" s="36" t="n">
        <v>17.59</v>
      </c>
      <c r="C6" s="11" t="inlineStr"/>
      <c r="D6" s="10" t="inlineStr">
        <is>
          <t>topの1番目。</t>
        </is>
      </c>
      <c r="E6" s="11" t="inlineStr">
        <is>
          <t>IT_LOAD1</t>
        </is>
      </c>
    </row>
    <row r="7" ht="27" customHeight="1">
      <c r="A7" s="24" t="inlineStr">
        <is>
          <t>ロード 5分</t>
        </is>
      </c>
      <c r="B7" s="36" t="n">
        <v>5.03</v>
      </c>
      <c r="C7" s="11" t="inlineStr"/>
      <c r="D7" s="10" t="inlineStr">
        <is>
          <t>topの2番目。</t>
        </is>
      </c>
      <c r="E7" s="11" t="inlineStr">
        <is>
          <t>IT_LOAD5</t>
        </is>
      </c>
    </row>
    <row r="8" ht="27" customHeight="1">
      <c r="A8" s="24" t="inlineStr">
        <is>
          <t>ロード 15分</t>
        </is>
      </c>
      <c r="B8" s="36" t="n">
        <v>1.99</v>
      </c>
      <c r="C8" s="11" t="inlineStr"/>
      <c r="D8" s="10" t="inlineStr">
        <is>
          <t>topの3番目。</t>
        </is>
      </c>
      <c r="E8" s="11" t="inlineStr">
        <is>
          <t>IT_LOAD15</t>
        </is>
      </c>
    </row>
    <row r="9" ht="27" customHeight="1">
      <c r="A9" s="24" t="inlineStr">
        <is>
          <t>us</t>
        </is>
      </c>
      <c r="B9" s="37" t="n">
        <v>95.90000000000001</v>
      </c>
      <c r="C9" s="11" t="inlineStr">
        <is>
          <t>%</t>
        </is>
      </c>
      <c r="D9" s="10" t="inlineStr">
        <is>
          <t>ユーザCPU。</t>
        </is>
      </c>
      <c r="E9" s="11" t="inlineStr">
        <is>
          <t>IT_US</t>
        </is>
      </c>
    </row>
    <row r="10" ht="27" customHeight="1">
      <c r="A10" s="24" t="inlineStr">
        <is>
          <t>sy</t>
        </is>
      </c>
      <c r="B10" s="37" t="n">
        <v>3.1</v>
      </c>
      <c r="C10" s="11" t="inlineStr">
        <is>
          <t>%</t>
        </is>
      </c>
      <c r="D10" s="10" t="inlineStr">
        <is>
          <t>システムCPU。</t>
        </is>
      </c>
      <c r="E10" s="11" t="inlineStr">
        <is>
          <t>IT_SY</t>
        </is>
      </c>
    </row>
    <row r="11" ht="27" customHeight="1">
      <c r="A11" s="24" t="inlineStr">
        <is>
          <t>ni</t>
        </is>
      </c>
      <c r="B11" s="37" t="n">
        <v>0</v>
      </c>
      <c r="C11" s="11" t="inlineStr">
        <is>
          <t>%</t>
        </is>
      </c>
      <c r="D11" s="10" t="inlineStr">
        <is>
          <t>nice。提示は0.0。</t>
        </is>
      </c>
      <c r="E11" s="11" t="inlineStr">
        <is>
          <t>IT_NI</t>
        </is>
      </c>
    </row>
    <row r="12" ht="27" customHeight="1">
      <c r="A12" s="24" t="inlineStr">
        <is>
          <t>wa</t>
        </is>
      </c>
      <c r="B12" s="37" t="n">
        <v>0</v>
      </c>
      <c r="C12" s="11" t="inlineStr">
        <is>
          <t>%</t>
        </is>
      </c>
      <c r="D12" s="10" t="inlineStr">
        <is>
          <t>I/O待ち。</t>
        </is>
      </c>
      <c r="E12" s="11" t="inlineStr">
        <is>
          <t>IT_WA</t>
        </is>
      </c>
    </row>
    <row r="13" ht="27" customHeight="1">
      <c r="A13" s="24" t="inlineStr">
        <is>
          <t>hi</t>
        </is>
      </c>
      <c r="B13" s="37" t="n">
        <v>0.8</v>
      </c>
      <c r="C13" s="11" t="inlineStr">
        <is>
          <t>%</t>
        </is>
      </c>
      <c r="D13" s="10" t="inlineStr">
        <is>
          <t>原文h1はhi。</t>
        </is>
      </c>
      <c r="E13" s="11" t="inlineStr">
        <is>
          <t>IT_HI</t>
        </is>
      </c>
    </row>
    <row r="14" ht="27" customHeight="1">
      <c r="A14" s="24" t="inlineStr">
        <is>
          <t>si</t>
        </is>
      </c>
      <c r="B14" s="37" t="n">
        <v>0.1</v>
      </c>
      <c r="C14" s="11" t="inlineStr">
        <is>
          <t>%</t>
        </is>
      </c>
      <c r="D14" s="10" t="inlineStr">
        <is>
          <t>ソフト割り込み。</t>
        </is>
      </c>
      <c r="E14" s="11" t="inlineStr">
        <is>
          <t>IT_SI</t>
        </is>
      </c>
    </row>
    <row r="15" ht="27" customHeight="1">
      <c r="A15" s="24" t="inlineStr">
        <is>
          <t>st</t>
        </is>
      </c>
      <c r="B15" s="37" t="n">
        <v>0</v>
      </c>
      <c r="C15" s="11" t="inlineStr">
        <is>
          <t>%</t>
        </is>
      </c>
      <c r="D15" s="10" t="inlineStr">
        <is>
          <t>steal。</t>
        </is>
      </c>
      <c r="E15" s="11" t="inlineStr">
        <is>
          <t>IT_ST</t>
        </is>
      </c>
    </row>
    <row r="16" ht="27" customHeight="1">
      <c r="A16" s="24" t="inlineStr">
        <is>
          <t>ITのJVM数</t>
        </is>
      </c>
      <c r="B16" s="35" t="n">
        <v>10</v>
      </c>
      <c r="C16" s="11" t="inlineStr">
        <is>
          <t>本</t>
        </is>
      </c>
      <c r="D16" s="10" t="inlineStr">
        <is>
          <t>同時に立ったjavaの本数。</t>
        </is>
      </c>
      <c r="E16" s="11" t="inlineStr">
        <is>
          <t>IT_JVM</t>
        </is>
      </c>
    </row>
    <row r="17" ht="27" customHeight="1">
      <c r="A17" s="24" t="inlineStr">
        <is>
          <t>ITのマルチ</t>
        </is>
      </c>
      <c r="B17" s="35" t="n">
        <v>10</v>
      </c>
      <c r="C17" s="11" t="inlineStr">
        <is>
          <t>本</t>
        </is>
      </c>
      <c r="D17" s="10" t="inlineStr">
        <is>
          <t>JP1の同時実行上限。</t>
        </is>
      </c>
      <c r="E17" s="11" t="inlineStr">
        <is>
          <t>IT_MULTI</t>
        </is>
      </c>
    </row>
    <row r="18" ht="27" customHeight="1">
      <c r="A18" s="24" t="inlineStr">
        <is>
          <t>メモリ total</t>
        </is>
      </c>
      <c r="B18" s="38" t="n">
        <v>15358.3</v>
      </c>
      <c r="C18" s="11" t="inlineStr">
        <is>
          <t>MiB</t>
        </is>
      </c>
      <c r="D18" s="10" t="inlineStr">
        <is>
          <t>topのMem total。</t>
        </is>
      </c>
      <c r="E18" s="11" t="inlineStr">
        <is>
          <t>IT_MEM_TOTAL</t>
        </is>
      </c>
    </row>
    <row r="19" ht="27" customHeight="1">
      <c r="A19" s="24" t="inlineStr">
        <is>
          <t>メモリ free</t>
        </is>
      </c>
      <c r="B19" s="38" t="n">
        <v>1201.1</v>
      </c>
      <c r="C19" s="11" t="inlineStr">
        <is>
          <t>MiB</t>
        </is>
      </c>
      <c r="D19" s="10" t="inlineStr">
        <is>
          <t>即時の未使用。</t>
        </is>
      </c>
      <c r="E19" s="11" t="inlineStr">
        <is>
          <t>IT_MEM_FREE</t>
        </is>
      </c>
    </row>
    <row r="20" ht="27" customHeight="1">
      <c r="A20" s="24" t="inlineStr">
        <is>
          <t>メモリ used</t>
        </is>
      </c>
      <c r="B20" s="38" t="n">
        <v>5557.3</v>
      </c>
      <c r="C20" s="11" t="inlineStr">
        <is>
          <t>MiB</t>
        </is>
      </c>
      <c r="D20" s="10" t="inlineStr">
        <is>
          <t>アプリ等が使用。</t>
        </is>
      </c>
      <c r="E20" s="11" t="inlineStr">
        <is>
          <t>IT_MEM_USED</t>
        </is>
      </c>
    </row>
    <row r="21" ht="27" customHeight="1">
      <c r="A21" s="24" t="inlineStr">
        <is>
          <t>buff/cache</t>
        </is>
      </c>
      <c r="B21" s="38" t="n">
        <v>8939.6</v>
      </c>
      <c r="C21" s="11" t="inlineStr">
        <is>
          <t>MiB</t>
        </is>
      </c>
      <c r="D21" s="10" t="inlineStr">
        <is>
          <t>戻せるキャッシュを含む。</t>
        </is>
      </c>
      <c r="E21" s="11" t="inlineStr">
        <is>
          <t>IT_MEM_CACHE</t>
        </is>
      </c>
    </row>
    <row r="22" ht="27" customHeight="1">
      <c r="A22" s="24" t="inlineStr">
        <is>
          <t>swap total</t>
        </is>
      </c>
      <c r="B22" s="38" t="n">
        <v>3814.7</v>
      </c>
      <c r="C22" s="11" t="inlineStr">
        <is>
          <t>MiB</t>
        </is>
      </c>
      <c r="D22" s="10" t="inlineStr">
        <is>
          <t>スワップ容量。</t>
        </is>
      </c>
      <c r="E22" s="11" t="inlineStr">
        <is>
          <t>IT_SWAP_TOTAL</t>
        </is>
      </c>
    </row>
    <row r="23" ht="27" customHeight="1">
      <c r="A23" s="24" t="inlineStr">
        <is>
          <t>swap used</t>
        </is>
      </c>
      <c r="B23" s="37" t="n">
        <v>0.2</v>
      </c>
      <c r="C23" s="11" t="inlineStr">
        <is>
          <t>MiB</t>
        </is>
      </c>
      <c r="D23" s="10" t="inlineStr">
        <is>
          <t>使用量。</t>
        </is>
      </c>
      <c r="E23" s="11" t="inlineStr">
        <is>
          <t>IT_SWAP_USED</t>
        </is>
      </c>
    </row>
    <row r="24" ht="27" customHeight="1">
      <c r="A24" s="24" t="inlineStr">
        <is>
          <t>available</t>
        </is>
      </c>
      <c r="B24" s="38" t="n">
        <v>9801.1</v>
      </c>
      <c r="C24" s="11" t="inlineStr">
        <is>
          <t>MiB</t>
        </is>
      </c>
      <c r="D24" s="10" t="inlineStr">
        <is>
          <t>実質の空き。</t>
        </is>
      </c>
      <c r="E24" s="11" t="inlineStr">
        <is>
          <t>IT_AVAIL</t>
        </is>
      </c>
    </row>
    <row r="25" ht="27" customHeight="1">
      <c r="A25" s="24" t="inlineStr">
        <is>
          <t>Tasks total</t>
        </is>
      </c>
      <c r="B25" s="39" t="n">
        <v>843</v>
      </c>
      <c r="C25" s="11" t="inlineStr">
        <is>
          <t>個</t>
        </is>
      </c>
      <c r="D25" s="10" t="inlineStr">
        <is>
          <t>プロセス数。</t>
        </is>
      </c>
      <c r="E25" s="11" t="inlineStr">
        <is>
          <t>IT_TASKS</t>
        </is>
      </c>
    </row>
    <row r="26" ht="27" customHeight="1">
      <c r="A26" s="24" t="inlineStr">
        <is>
          <t>running</t>
        </is>
      </c>
      <c r="B26" s="35" t="n">
        <v>1</v>
      </c>
      <c r="C26" s="11" t="inlineStr">
        <is>
          <t>個</t>
        </is>
      </c>
      <c r="D26" s="10" t="inlineStr">
        <is>
          <t>その瞬間の実行中プロセス。</t>
        </is>
      </c>
      <c r="E26" s="11" t="inlineStr">
        <is>
          <t>IT_RUNNING</t>
        </is>
      </c>
    </row>
    <row r="27" ht="27" customHeight="1">
      <c r="A27" s="24" t="inlineStr">
        <is>
          <t>sleeping</t>
        </is>
      </c>
      <c r="B27" s="39" t="n">
        <v>841</v>
      </c>
      <c r="C27" s="11" t="inlineStr">
        <is>
          <t>個</t>
        </is>
      </c>
      <c r="D27" s="10" t="inlineStr">
        <is>
          <t>休眠。</t>
        </is>
      </c>
      <c r="E27" s="11" t="inlineStr">
        <is>
          <t>IT_SLEEP</t>
        </is>
      </c>
    </row>
    <row r="28" ht="27" customHeight="1">
      <c r="A28" s="24" t="inlineStr">
        <is>
          <t>stopped</t>
        </is>
      </c>
      <c r="B28" s="35" t="n">
        <v>1</v>
      </c>
      <c r="C28" s="11" t="inlineStr">
        <is>
          <t>個</t>
        </is>
      </c>
      <c r="D28" s="10" t="inlineStr">
        <is>
          <t>停止状態。</t>
        </is>
      </c>
      <c r="E28" s="11" t="inlineStr">
        <is>
          <t>IT_STOPPED</t>
        </is>
      </c>
    </row>
    <row r="29" ht="27" customHeight="1">
      <c r="A29" s="24" t="inlineStr">
        <is>
          <t>zombie</t>
        </is>
      </c>
      <c r="B29" s="35" t="n">
        <v>0</v>
      </c>
      <c r="C29" s="11" t="inlineStr">
        <is>
          <t>個</t>
        </is>
      </c>
      <c r="D29" s="10" t="inlineStr">
        <is>
          <t>ゾンビ。</t>
        </is>
      </c>
      <c r="E29" s="11" t="inlineStr">
        <is>
          <t>IT_ZOMBIE</t>
        </is>
      </c>
    </row>
    <row r="30" ht="27" customHeight="1">
      <c r="A30" s="24" t="inlineStr">
        <is>
          <t>本番vCPU</t>
        </is>
      </c>
      <c r="B30" s="35" t="n">
        <v>32</v>
      </c>
      <c r="C30" s="11" t="inlineStr">
        <is>
          <t>個</t>
        </is>
      </c>
      <c r="D30" s="10" t="inlineStr">
        <is>
          <t>提示された本番の枠。</t>
        </is>
      </c>
      <c r="E30" s="11" t="inlineStr">
        <is>
          <t>PROD_VCPU</t>
        </is>
      </c>
    </row>
    <row r="31" ht="27" customHeight="1">
      <c r="A31" s="24" t="inlineStr">
        <is>
          <t>本番JVM提示数</t>
        </is>
      </c>
      <c r="B31" s="35" t="n">
        <v>58</v>
      </c>
      <c r="C31" s="11" t="inlineStr">
        <is>
          <t>本</t>
        </is>
      </c>
      <c r="D31" s="10" t="inlineStr">
        <is>
          <t>同時とは限らない。</t>
        </is>
      </c>
      <c r="E31" s="11" t="inlineStr">
        <is>
          <t>PROD_JVM</t>
        </is>
      </c>
    </row>
    <row r="32" ht="27" customHeight="1">
      <c r="A32" s="24" t="inlineStr">
        <is>
          <t>本番マルチ案</t>
        </is>
      </c>
      <c r="B32" s="35" t="n">
        <v>32</v>
      </c>
      <c r="C32" s="11" t="inlineStr">
        <is>
          <t>本</t>
        </is>
      </c>
      <c r="D32" s="10" t="inlineStr">
        <is>
          <t>質問にある32同時の案。</t>
        </is>
      </c>
      <c r="E32" s="11" t="inlineStr">
        <is>
          <t>PROD_MULTI</t>
        </is>
      </c>
    </row>
    <row r="33" ht="27" customHeight="1">
      <c r="A33" s="24" t="inlineStr">
        <is>
          <t>ITの仕事本数（モデル）</t>
        </is>
      </c>
      <c r="B33" s="35" t="n">
        <v>10</v>
      </c>
      <c r="C33" s="11" t="inlineStr">
        <is>
          <t>本</t>
        </is>
      </c>
      <c r="D33" s="10" t="inlineStr">
        <is>
          <t>終了指数用。実数が違えば変える。</t>
        </is>
      </c>
      <c r="E33" s="11" t="inlineStr">
        <is>
          <t>IT_JOBS</t>
        </is>
      </c>
    </row>
    <row r="34" ht="27" customHeight="1">
      <c r="A34" s="24" t="inlineStr">
        <is>
          <t>本番の仕事本数（モデル）</t>
        </is>
      </c>
      <c r="B34" s="35" t="n">
        <v>58</v>
      </c>
      <c r="C34" s="11" t="inlineStr">
        <is>
          <t>本</t>
        </is>
      </c>
      <c r="D34" s="10" t="inlineStr">
        <is>
          <t>終了指数用。</t>
        </is>
      </c>
      <c r="E34" s="11" t="inlineStr">
        <is>
          <t>PROD_JOBS</t>
        </is>
      </c>
    </row>
    <row r="35"/>
    <row r="36">
      <c r="A36" s="5" t="inlineStr">
        <is>
          <t>プロセス%CPU（上から7本）</t>
        </is>
      </c>
      <c r="B36" s="5" t="n"/>
      <c r="C36" s="5" t="n"/>
      <c r="D36" s="5" t="n"/>
      <c r="E36" s="5" t="n"/>
    </row>
    <row r="37">
      <c r="A37" s="24" t="inlineStr">
        <is>
          <t>プロセス1</t>
        </is>
      </c>
      <c r="B37" s="37" t="n">
        <v>125.5</v>
      </c>
      <c r="C37" s="11" t="inlineStr">
        <is>
          <t>%CPU</t>
        </is>
      </c>
      <c r="D37" s="10" t="inlineStr">
        <is>
          <t>1コア＝100%。100超はそのJVMが複数コアを使った。</t>
        </is>
      </c>
      <c r="E37" s="10" t="inlineStr">
        <is>
          <t>CPU_P1</t>
        </is>
      </c>
    </row>
    <row r="38">
      <c r="A38" s="27" t="inlineStr">
        <is>
          <t>プロセス2</t>
        </is>
      </c>
      <c r="B38" s="37" t="n">
        <v>122.4</v>
      </c>
      <c r="C38" s="14" t="inlineStr">
        <is>
          <t>%CPU</t>
        </is>
      </c>
      <c r="D38" s="13" t="inlineStr">
        <is>
          <t>1コア＝100%。100超はそのJVMが複数コアを使った。</t>
        </is>
      </c>
      <c r="E38" s="13" t="inlineStr">
        <is>
          <t>CPU_P2</t>
        </is>
      </c>
    </row>
    <row r="39">
      <c r="A39" s="24" t="inlineStr">
        <is>
          <t>プロセス3</t>
        </is>
      </c>
      <c r="B39" s="37" t="n">
        <v>115.1</v>
      </c>
      <c r="C39" s="11" t="inlineStr">
        <is>
          <t>%CPU</t>
        </is>
      </c>
      <c r="D39" s="10" t="inlineStr">
        <is>
          <t>1コア＝100%。100超はそのJVMが複数コアを使った。</t>
        </is>
      </c>
      <c r="E39" s="10" t="inlineStr">
        <is>
          <t>CPU_P3</t>
        </is>
      </c>
    </row>
    <row r="40">
      <c r="A40" s="27" t="inlineStr">
        <is>
          <t>プロセス4</t>
        </is>
      </c>
      <c r="B40" s="37" t="n">
        <v>108.6</v>
      </c>
      <c r="C40" s="14" t="inlineStr">
        <is>
          <t>%CPU</t>
        </is>
      </c>
      <c r="D40" s="13" t="inlineStr">
        <is>
          <t>1コア＝100%。100超はそのJVMが複数コアを使った。</t>
        </is>
      </c>
      <c r="E40" s="13" t="inlineStr">
        <is>
          <t>CPU_P4</t>
        </is>
      </c>
    </row>
    <row r="41">
      <c r="A41" s="24" t="inlineStr">
        <is>
          <t>プロセス5</t>
        </is>
      </c>
      <c r="B41" s="37" t="n">
        <v>101</v>
      </c>
      <c r="C41" s="11" t="inlineStr">
        <is>
          <t>%CPU</t>
        </is>
      </c>
      <c r="D41" s="10" t="inlineStr">
        <is>
          <t>1コア＝100%。100超はそのJVMが複数コアを使った。</t>
        </is>
      </c>
      <c r="E41" s="10" t="inlineStr">
        <is>
          <t>CPU_P5</t>
        </is>
      </c>
    </row>
    <row r="42">
      <c r="A42" s="27" t="inlineStr">
        <is>
          <t>プロセス6</t>
        </is>
      </c>
      <c r="B42" s="37" t="n">
        <v>88.5</v>
      </c>
      <c r="C42" s="14" t="inlineStr">
        <is>
          <t>%CPU</t>
        </is>
      </c>
      <c r="D42" s="13" t="inlineStr">
        <is>
          <t>1コア＝100%。100超はそのJVMが複数コアを使った。</t>
        </is>
      </c>
      <c r="E42" s="13" t="inlineStr">
        <is>
          <t>CPU_P6</t>
        </is>
      </c>
    </row>
    <row r="43">
      <c r="A43" s="24" t="inlineStr">
        <is>
          <t>プロセス7</t>
        </is>
      </c>
      <c r="B43" s="37" t="n">
        <v>76.59999999999999</v>
      </c>
      <c r="C43" s="11" t="inlineStr">
        <is>
          <t>%CPU</t>
        </is>
      </c>
      <c r="D43" s="10" t="inlineStr">
        <is>
          <t>1コア＝100%。100超はそのJVMが複数コアを使った。</t>
        </is>
      </c>
      <c r="E43" s="10" t="inlineStr">
        <is>
          <t>CPU_P7</t>
        </is>
      </c>
    </row>
    <row r="44">
      <c r="A44" s="16" t="inlineStr">
        <is>
          <t>7本の合計</t>
        </is>
      </c>
      <c r="B44" s="40">
        <f>SUM(B37:B43)</f>
        <v/>
      </c>
      <c r="C44" s="41" t="inlineStr">
        <is>
          <t>%CPU</t>
        </is>
      </c>
      <c r="D44" s="16" t="inlineStr">
        <is>
          <t>8コアの満点は800%。合計÷vCPUが、マシンに対するパーセント。</t>
        </is>
      </c>
      <c r="E44" s="41" t="inlineStr">
        <is>
          <t>CPU_SUM7</t>
        </is>
      </c>
    </row>
    <row r="45"/>
    <row r="46">
      <c r="A46" s="5" t="inlineStr">
        <is>
          <t>派生値（自動）</t>
        </is>
      </c>
      <c r="B46" s="5" t="n"/>
      <c r="C46" s="5" t="n"/>
      <c r="D46" s="5" t="n"/>
      <c r="E46" s="5" t="n"/>
    </row>
    <row r="47">
      <c r="A47" s="15" t="inlineStr">
        <is>
          <t>全体の空き</t>
        </is>
      </c>
      <c r="B47" s="42">
        <f>100-(IT_US+IT_SY+IT_NI+IT_WA+IT_HI+IT_SI+IT_ST)</f>
        <v/>
      </c>
      <c r="C47" s="43" t="inlineStr">
        <is>
          <t>%</t>
        </is>
      </c>
      <c r="D47" s="44" t="inlineStr">
        <is>
          <t>入力を変えると再計算される。</t>
        </is>
      </c>
      <c r="E47" s="43" t="inlineStr">
        <is>
          <t>IDLE</t>
        </is>
      </c>
    </row>
    <row r="48">
      <c r="A48" s="24" t="inlineStr">
        <is>
          <t>us+sy</t>
        </is>
      </c>
      <c r="B48" s="45">
        <f>IT_US+IT_SY</f>
        <v/>
      </c>
      <c r="C48" s="11" t="inlineStr">
        <is>
          <t>%</t>
        </is>
      </c>
      <c r="D48" s="10" t="inlineStr">
        <is>
          <t>入力を変えると再計算される。</t>
        </is>
      </c>
      <c r="E48" s="11" t="inlineStr">
        <is>
          <t>BUSY_US_SY</t>
        </is>
      </c>
    </row>
    <row r="49">
      <c r="A49" s="15" t="inlineStr">
        <is>
          <t>1分ロード÷vCPU</t>
        </is>
      </c>
      <c r="B49" s="46">
        <f>IT_LOAD1/IT_VCPU</f>
        <v/>
      </c>
      <c r="C49" s="43" t="inlineStr">
        <is>
          <t>倍</t>
        </is>
      </c>
      <c r="D49" s="44" t="inlineStr">
        <is>
          <t>入力を変えると再計算される。</t>
        </is>
      </c>
      <c r="E49" s="43" t="inlineStr">
        <is>
          <t>LOAD1_PER</t>
        </is>
      </c>
    </row>
    <row r="50">
      <c r="A50" s="24" t="inlineStr">
        <is>
          <t>5分ロード÷vCPU</t>
        </is>
      </c>
      <c r="B50" s="47">
        <f>IT_LOAD5/IT_VCPU</f>
        <v/>
      </c>
      <c r="C50" s="11" t="inlineStr">
        <is>
          <t>倍</t>
        </is>
      </c>
      <c r="D50" s="10" t="inlineStr">
        <is>
          <t>入力を変えると再計算される。</t>
        </is>
      </c>
      <c r="E50" s="11" t="inlineStr">
        <is>
          <t>LOAD5_PER</t>
        </is>
      </c>
    </row>
    <row r="51">
      <c r="A51" s="15" t="inlineStr">
        <is>
          <t>15分ロード÷vCPU</t>
        </is>
      </c>
      <c r="B51" s="46">
        <f>IT_LOAD15/IT_VCPU</f>
        <v/>
      </c>
      <c r="C51" s="43" t="inlineStr">
        <is>
          <t>倍</t>
        </is>
      </c>
      <c r="D51" s="44" t="inlineStr">
        <is>
          <t>入力を変えると再計算される。</t>
        </is>
      </c>
      <c r="E51" s="43" t="inlineStr">
        <is>
          <t>LOAD15_PER</t>
        </is>
      </c>
    </row>
    <row r="52">
      <c r="A52" s="24" t="inlineStr">
        <is>
          <t>1分の待ち人数の目安</t>
        </is>
      </c>
      <c r="B52" s="47">
        <f>MAX(0,IT_LOAD1-IT_VCPU)</f>
        <v/>
      </c>
      <c r="C52" s="11" t="inlineStr">
        <is>
          <t>人分</t>
        </is>
      </c>
      <c r="D52" s="10" t="inlineStr">
        <is>
          <t>入力を変えると再計算される。</t>
        </is>
      </c>
      <c r="E52" s="11" t="inlineStr">
        <is>
          <t>QUEUE1</t>
        </is>
      </c>
    </row>
    <row r="53">
      <c r="A53" s="15" t="inlineStr">
        <is>
          <t>マルチ÷vCPU</t>
        </is>
      </c>
      <c r="B53" s="46">
        <f>IT_MULTI/IT_VCPU</f>
        <v/>
      </c>
      <c r="C53" s="43" t="inlineStr">
        <is>
          <t>倍</t>
        </is>
      </c>
      <c r="D53" s="44" t="inlineStr">
        <is>
          <t>入力を変えると再計算される。</t>
        </is>
      </c>
      <c r="E53" s="43" t="inlineStr">
        <is>
          <t>OVERSUB</t>
        </is>
      </c>
    </row>
    <row r="54">
      <c r="A54" s="24" t="inlineStr">
        <is>
          <t>7本が占める全体割合</t>
        </is>
      </c>
      <c r="B54" s="45">
        <f>CPU_SUM7/IT_VCPU</f>
        <v/>
      </c>
      <c r="C54" s="11" t="inlineStr">
        <is>
          <t>%</t>
        </is>
      </c>
      <c r="D54" s="10" t="inlineStr">
        <is>
          <t>入力を変えると再計算される。</t>
        </is>
      </c>
      <c r="E54" s="11" t="inlineStr">
        <is>
          <t>SEVEN_OF_BOX</t>
        </is>
      </c>
    </row>
    <row r="55">
      <c r="A55" s="15" t="inlineStr">
        <is>
          <t>available比率</t>
        </is>
      </c>
      <c r="B55" s="48">
        <f>IT_AVAIL/IT_MEM_TOTAL</f>
        <v/>
      </c>
      <c r="C55" s="43" t="inlineStr">
        <is>
          <t>%</t>
        </is>
      </c>
      <c r="D55" s="44" t="inlineStr">
        <is>
          <t>入力を変えると再計算される。</t>
        </is>
      </c>
      <c r="E55" s="43" t="inlineStr">
        <is>
          <t>AVAIL_RATIO</t>
        </is>
      </c>
    </row>
    <row r="56">
      <c r="A56" s="24" t="inlineStr">
        <is>
          <t>swap使用率</t>
        </is>
      </c>
      <c r="B56" s="49">
        <f>IF(IT_SWAP_TOTAL=0,"",IT_SWAP_USED/IT_SWAP_TOTAL)</f>
        <v/>
      </c>
      <c r="C56" s="11" t="inlineStr">
        <is>
          <t>%</t>
        </is>
      </c>
      <c r="D56" s="10" t="inlineStr">
        <is>
          <t>入力を変えると再計算される。</t>
        </is>
      </c>
      <c r="E56" s="11" t="inlineStr">
        <is>
          <t>SWAP_RATIO</t>
        </is>
      </c>
    </row>
    <row r="57">
      <c r="A57" s="15" t="inlineStr">
        <is>
          <t>ITのGCスレッド／JVM</t>
        </is>
      </c>
      <c r="B57" s="50">
        <f>IF(IT_VCPU&lt;=8,IT_VCPU,8+INT((IT_VCPU-8)*5/8))</f>
        <v/>
      </c>
      <c r="C57" s="43" t="inlineStr">
        <is>
          <t>本</t>
        </is>
      </c>
      <c r="D57" s="44" t="inlineStr">
        <is>
          <t>入力を変えると再計算される。</t>
        </is>
      </c>
      <c r="E57" s="43" t="inlineStr">
        <is>
          <t>GC_IT</t>
        </is>
      </c>
    </row>
    <row r="58">
      <c r="A58" s="24" t="inlineStr">
        <is>
          <t>本番のGCスレッド／JVM</t>
        </is>
      </c>
      <c r="B58" s="32">
        <f>IF(PROD_VCPU&lt;=8,PROD_VCPU,8+INT((PROD_VCPU-8)*5/8))</f>
        <v/>
      </c>
      <c r="C58" s="11" t="inlineStr">
        <is>
          <t>本</t>
        </is>
      </c>
      <c r="D58" s="10" t="inlineStr">
        <is>
          <t>入力を変えると再計算される。</t>
        </is>
      </c>
      <c r="E58" s="11" t="inlineStr">
        <is>
          <t>GC_PROD</t>
        </is>
      </c>
    </row>
    <row r="59">
      <c r="A59" s="15" t="inlineStr">
        <is>
          <t>IT 10JVMのGC名札</t>
        </is>
      </c>
      <c r="B59" s="51">
        <f>GC_IT*IT_JVM</f>
        <v/>
      </c>
      <c r="C59" s="43" t="inlineStr">
        <is>
          <t>本</t>
        </is>
      </c>
      <c r="D59" s="44" t="inlineStr">
        <is>
          <t>入力を変えると再計算される。</t>
        </is>
      </c>
      <c r="E59" s="43" t="inlineStr">
        <is>
          <t>GC_IT_ALL</t>
        </is>
      </c>
    </row>
    <row r="60">
      <c r="A60" s="24" t="inlineStr">
        <is>
          <t>本番32同時のGC名札</t>
        </is>
      </c>
      <c r="B60" s="52">
        <f>GC_PROD*PROD_MULTI</f>
        <v/>
      </c>
      <c r="C60" s="11" t="inlineStr">
        <is>
          <t>本</t>
        </is>
      </c>
      <c r="D60" s="10" t="inlineStr">
        <is>
          <t>入力を変えると再計算される。</t>
        </is>
      </c>
      <c r="E60" s="11" t="inlineStr">
        <is>
          <t>GC_P32</t>
        </is>
      </c>
    </row>
    <row r="61">
      <c r="A61" s="15" t="inlineStr">
        <is>
          <t>本番58同時のGC名札</t>
        </is>
      </c>
      <c r="B61" s="51">
        <f>GC_PROD*PROD_JVM</f>
        <v/>
      </c>
      <c r="C61" s="43" t="inlineStr">
        <is>
          <t>本</t>
        </is>
      </c>
      <c r="D61" s="44" t="inlineStr">
        <is>
          <t>入力を変えると再計算される。</t>
        </is>
      </c>
      <c r="E61" s="43" t="inlineStr">
        <is>
          <t>GC_P58</t>
        </is>
      </c>
    </row>
    <row r="62">
      <c r="A62" s="24" t="inlineStr">
        <is>
          <t>見えるメモリ</t>
        </is>
      </c>
      <c r="B62" s="47">
        <f>IT_MEM_TOTAL/1024</f>
        <v/>
      </c>
      <c r="C62" s="11" t="inlineStr">
        <is>
          <t>GiB</t>
        </is>
      </c>
      <c r="D62" s="10" t="inlineStr">
        <is>
          <t>入力を変えると再計算される。</t>
        </is>
      </c>
      <c r="E62" s="11" t="inlineStr">
        <is>
          <t>MEM_GIB</t>
        </is>
      </c>
    </row>
    <row r="63">
      <c r="A63" s="15" t="inlineStr">
        <is>
          <t>available</t>
        </is>
      </c>
      <c r="B63" s="46">
        <f>IT_AVAIL/1024</f>
        <v/>
      </c>
      <c r="C63" s="43" t="inlineStr">
        <is>
          <t>GiB</t>
        </is>
      </c>
      <c r="D63" s="44" t="inlineStr">
        <is>
          <t>入力を変えると再計算される。</t>
        </is>
      </c>
      <c r="E63" s="43" t="inlineStr">
        <is>
          <t>AVAIL_GIB</t>
        </is>
      </c>
    </row>
    <row r="64"/>
    <row r="65">
      <c r="A65" s="53" t="inlineStr">
        <is>
          <t>終了指数モデル</t>
        </is>
      </c>
      <c r="B65" s="53" t="n"/>
      <c r="C65" s="53" t="n"/>
      <c r="D65" s="53" t="n"/>
      <c r="E65" s="53" t="n"/>
      <c r="F65" s="53" t="n"/>
      <c r="G65" s="53" t="n"/>
    </row>
    <row r="66">
      <c r="A66" s="8" t="inlineStr">
        <is>
          <t>場面</t>
        </is>
      </c>
      <c r="B66" s="8" t="inlineStr">
        <is>
          <t>仕事数n</t>
        </is>
      </c>
      <c r="C66" s="8" t="inlineStr">
        <is>
          <t>マルチm</t>
        </is>
      </c>
      <c r="D66" s="8" t="inlineStr">
        <is>
          <t>vCPU c</t>
        </is>
      </c>
      <c r="E66" s="8" t="inlineStr">
        <is>
          <t>波の数</t>
        </is>
      </c>
      <c r="F66" s="8" t="inlineStr">
        <is>
          <t>最後の本数</t>
        </is>
      </c>
      <c r="G66" s="8" t="inlineStr">
        <is>
          <t>指数</t>
        </is>
      </c>
    </row>
    <row r="67" ht="22" customHeight="1">
      <c r="A67" s="24" t="inlineStr">
        <is>
          <t>IT 仕事10 マルチ10</t>
        </is>
      </c>
      <c r="B67" s="32">
        <f>IT_JOBS</f>
        <v/>
      </c>
      <c r="C67" s="32">
        <f>IT_MULTI</f>
        <v/>
      </c>
      <c r="D67" s="32">
        <f>IT_VCPU</f>
        <v/>
      </c>
      <c r="E67" s="32">
        <f>ROUNDUP(B67/C67,0)</f>
        <v/>
      </c>
      <c r="F67" s="32">
        <f>B67-(E67-1)*C67</f>
        <v/>
      </c>
      <c r="G67" s="47">
        <f>(E67-1)*IF(C67&gt;D67,C67/D67,1)+IF(F67&gt;D67,F67/D67,1)</f>
        <v/>
      </c>
    </row>
    <row r="68" ht="22" customHeight="1">
      <c r="A68" s="27" t="inlineStr">
        <is>
          <t>IT 仕事10 マルチ8</t>
        </is>
      </c>
      <c r="B68" s="33">
        <f>IT_JOBS</f>
        <v/>
      </c>
      <c r="C68" s="33" t="n">
        <v>8</v>
      </c>
      <c r="D68" s="33">
        <f>IT_VCPU</f>
        <v/>
      </c>
      <c r="E68" s="33">
        <f>ROUNDUP(B68/C68,0)</f>
        <v/>
      </c>
      <c r="F68" s="33">
        <f>B68-(E68-1)*C68</f>
        <v/>
      </c>
      <c r="G68" s="54">
        <f>(E68-1)*IF(C68&gt;D68,C68/D68,1)+IF(F68&gt;D68,F68/D68,1)</f>
        <v/>
      </c>
    </row>
    <row r="69" ht="22" customHeight="1">
      <c r="A69" s="24" t="inlineStr">
        <is>
          <t>IT 仕事10 マルチ7</t>
        </is>
      </c>
      <c r="B69" s="32">
        <f>IT_JOBS</f>
        <v/>
      </c>
      <c r="C69" s="32" t="n">
        <v>7</v>
      </c>
      <c r="D69" s="32">
        <f>IT_VCPU</f>
        <v/>
      </c>
      <c r="E69" s="32">
        <f>ROUNDUP(B69/C69,0)</f>
        <v/>
      </c>
      <c r="F69" s="32">
        <f>B69-(E69-1)*C69</f>
        <v/>
      </c>
      <c r="G69" s="47">
        <f>(E69-1)*IF(C69&gt;D69,C69/D69,1)+IF(F69&gt;D69,F69/D69,1)</f>
        <v/>
      </c>
    </row>
    <row r="70" ht="22" customHeight="1">
      <c r="A70" s="27" t="inlineStr">
        <is>
          <t>IT 仕事80 マルチ8</t>
        </is>
      </c>
      <c r="B70" s="33" t="n">
        <v>80</v>
      </c>
      <c r="C70" s="33" t="n">
        <v>8</v>
      </c>
      <c r="D70" s="33">
        <f>IT_VCPU</f>
        <v/>
      </c>
      <c r="E70" s="33">
        <f>ROUNDUP(B70/C70,0)</f>
        <v/>
      </c>
      <c r="F70" s="33">
        <f>B70-(E70-1)*C70</f>
        <v/>
      </c>
      <c r="G70" s="54">
        <f>(E70-1)*IF(C70&gt;D70,C70/D70,1)+IF(F70&gt;D70,F70/D70,1)</f>
        <v/>
      </c>
    </row>
    <row r="71" ht="22" customHeight="1">
      <c r="A71" s="24" t="inlineStr">
        <is>
          <t>IT 仕事80 マルチ10</t>
        </is>
      </c>
      <c r="B71" s="32" t="n">
        <v>80</v>
      </c>
      <c r="C71" s="32" t="n">
        <v>10</v>
      </c>
      <c r="D71" s="32">
        <f>IT_VCPU</f>
        <v/>
      </c>
      <c r="E71" s="32">
        <f>ROUNDUP(B71/C71,0)</f>
        <v/>
      </c>
      <c r="F71" s="32">
        <f>B71-(E71-1)*C71</f>
        <v/>
      </c>
      <c r="G71" s="47">
        <f>(E71-1)*IF(C71&gt;D71,C71/D71,1)+IF(F71&gt;D71,F71/D71,1)</f>
        <v/>
      </c>
    </row>
    <row r="72" ht="22" customHeight="1">
      <c r="A72" s="27" t="inlineStr">
        <is>
          <t>本番 仕事58 マルチ32</t>
        </is>
      </c>
      <c r="B72" s="33">
        <f>PROD_JOBS</f>
        <v/>
      </c>
      <c r="C72" s="33">
        <f>PROD_MULTI</f>
        <v/>
      </c>
      <c r="D72" s="33">
        <f>PROD_VCPU</f>
        <v/>
      </c>
      <c r="E72" s="33">
        <f>ROUNDUP(B72/C72,0)</f>
        <v/>
      </c>
      <c r="F72" s="33">
        <f>B72-(E72-1)*C72</f>
        <v/>
      </c>
      <c r="G72" s="54">
        <f>(E72-1)*IF(C72&gt;D72,C72/D72,1)+IF(F72&gt;D72,F72/D72,1)</f>
        <v/>
      </c>
    </row>
    <row r="73" ht="22" customHeight="1">
      <c r="A73" s="24" t="inlineStr">
        <is>
          <t>本番 仕事58 マルチ58</t>
        </is>
      </c>
      <c r="B73" s="32">
        <f>PROD_JOBS</f>
        <v/>
      </c>
      <c r="C73" s="32">
        <f>PROD_JVM</f>
        <v/>
      </c>
      <c r="D73" s="32">
        <f>PROD_VCPU</f>
        <v/>
      </c>
      <c r="E73" s="32">
        <f>ROUNDUP(B73/C73,0)</f>
        <v/>
      </c>
      <c r="F73" s="32">
        <f>B73-(E73-1)*C73</f>
        <v/>
      </c>
      <c r="G73" s="47">
        <f>(E73-1)*IF(C73&gt;D73,C73/D73,1)+IF(F73&gt;D73,F73/D73,1)</f>
        <v/>
      </c>
    </row>
    <row r="74" ht="22" customHeight="1">
      <c r="A74" s="27" t="inlineStr">
        <is>
          <t>本番 仕事320 マルチ32</t>
        </is>
      </c>
      <c r="B74" s="33" t="n">
        <v>320</v>
      </c>
      <c r="C74" s="33">
        <f>PROD_MULTI</f>
        <v/>
      </c>
      <c r="D74" s="33">
        <f>PROD_VCPU</f>
        <v/>
      </c>
      <c r="E74" s="33">
        <f>ROUNDUP(B74/C74,0)</f>
        <v/>
      </c>
      <c r="F74" s="33">
        <f>B74-(E74-1)*C74</f>
        <v/>
      </c>
      <c r="G74" s="54">
        <f>(E74-1)*IF(C74&gt;D74,C74/D74,1)+IF(F74&gt;D74,F74/D74,1)</f>
        <v/>
      </c>
    </row>
    <row r="75"/>
    <row r="76" ht="32" customHeight="1">
      <c r="A76" s="55" t="inlineStr">
        <is>
          <t>終了指数の意味：1は「その仕事を1本だけ、専用のコアで走らせた時間」。指数2は、その2倍の壁時計。
式は、同じ長さの仕事が、同時実行数ごとに固まって終わり、1仕事は同時に1コアまでしか使わない、という仮定です。マルチがvCPU以下のときは、波の数だけ時間がかかり、余ったコアは遊びます。マルチがvCPUを超えるときは、その波の間コアが埋まり、1波の時間は「人数÷コア数」になります。
GC、JIT、仕事の大きさのばらつき、DBの待ちは入っていません。マルチを増やした行は、この指数より悪くなり得ます。</t>
        </is>
      </c>
      <c r="B76" s="7" t="n"/>
      <c r="C76" s="7" t="n"/>
      <c r="D76" s="7" t="n"/>
      <c r="E76" s="7" t="n"/>
      <c r="F76" s="7" t="n"/>
      <c r="G76" s="7" t="n"/>
    </row>
    <row r="77" ht="32" customHeight="1">
      <c r="A77" s="7" t="n"/>
      <c r="B77" s="7" t="n"/>
      <c r="C77" s="7" t="n"/>
      <c r="D77" s="7" t="n"/>
      <c r="E77" s="7" t="n"/>
      <c r="F77" s="7" t="n"/>
      <c r="G77" s="7" t="n"/>
    </row>
    <row r="78" ht="48" customHeight="1">
      <c r="A78" s="7" t="n"/>
      <c r="B78" s="7" t="n"/>
      <c r="C78" s="7" t="n"/>
      <c r="D78" s="7" t="n"/>
      <c r="E78" s="7" t="n"/>
      <c r="F78" s="7" t="n"/>
      <c r="G78" s="7" t="n"/>
    </row>
    <row r="79"/>
    <row r="80">
      <c r="A80" s="5" t="inlineStr">
        <is>
          <t>全体CPUの内訳バー（5%につき■）</t>
        </is>
      </c>
      <c r="B80" s="5" t="n"/>
      <c r="C80" s="5" t="n"/>
      <c r="D80" s="5" t="n"/>
      <c r="E80" s="5" t="n"/>
    </row>
    <row r="81" ht="20" customHeight="1">
      <c r="A81" s="24" t="inlineStr">
        <is>
          <t>us</t>
        </is>
      </c>
      <c r="B81" s="45">
        <f>IT_US</f>
        <v/>
      </c>
      <c r="C81" s="56">
        <f>REPT("■",ROUND(B81/5,0))</f>
        <v/>
      </c>
      <c r="D81" s="57" t="n"/>
      <c r="E81" s="58" t="n"/>
    </row>
    <row r="82" ht="20" customHeight="1">
      <c r="A82" s="24" t="inlineStr">
        <is>
          <t>sy</t>
        </is>
      </c>
      <c r="B82" s="45">
        <f>IT_SY</f>
        <v/>
      </c>
      <c r="C82" s="59" t="n"/>
    </row>
    <row r="83" ht="20" customHeight="1">
      <c r="A83" s="24" t="inlineStr">
        <is>
          <t>hi</t>
        </is>
      </c>
      <c r="B83" s="45">
        <f>IT_HI</f>
        <v/>
      </c>
      <c r="C83" s="59" t="n"/>
    </row>
    <row r="84" ht="20" customHeight="1">
      <c r="A84" s="24" t="inlineStr">
        <is>
          <t>si</t>
        </is>
      </c>
      <c r="B84" s="45">
        <f>IT_SI</f>
        <v/>
      </c>
      <c r="C84" s="59" t="n"/>
    </row>
    <row r="85" ht="20" customHeight="1">
      <c r="A85" s="24" t="inlineStr">
        <is>
          <t>wa</t>
        </is>
      </c>
      <c r="B85" s="45">
        <f>IT_WA</f>
        <v/>
      </c>
      <c r="C85" s="59" t="n"/>
    </row>
    <row r="86" ht="20" customHeight="1">
      <c r="A86" s="24" t="inlineStr">
        <is>
          <t>st</t>
        </is>
      </c>
      <c r="B86" s="45">
        <f>IT_ST</f>
        <v/>
      </c>
      <c r="C86" s="59" t="n"/>
    </row>
    <row r="87" ht="20" customHeight="1">
      <c r="A87" s="24" t="inlineStr">
        <is>
          <t>idle</t>
        </is>
      </c>
      <c r="B87" s="45">
        <f>IDLE</f>
        <v/>
      </c>
      <c r="C87" s="59" t="n"/>
    </row>
  </sheetData>
  <autoFilter ref="A4:E34"/>
  <mergeCells count="10">
    <mergeCell ref="A2:E2"/>
    <mergeCell ref="C84:E84"/>
    <mergeCell ref="A76:G78"/>
    <mergeCell ref="C87:E87"/>
    <mergeCell ref="A1:E1"/>
    <mergeCell ref="C86:E86"/>
    <mergeCell ref="C82:E82"/>
    <mergeCell ref="C83:E83"/>
    <mergeCell ref="C81:E81"/>
    <mergeCell ref="C85:E85"/>
  </mergeCells>
  <conditionalFormatting sqref="B81:B87">
    <cfRule type="dataBar" priority="1">
      <dataBar showValue="1">
        <cfvo type="num" val="0"/>
        <cfvo type="num" val="100"/>
        <color rgb="005C5C5C"/>
      </dataBar>
    </cfRule>
  </conditionalFormatting>
  <printOptions horizontalCentered="1"/>
  <pageMargins left="0.45" right="0.45" top="0.7" bottom="0.55" header="0.28" footer="0.28"/>
  <pageSetup orientation="landscape" paperSize="8" fitToHeight="0" fitToWidth="1" horizontalDpi="300" verticalDpi="300"/>
  <headerFooter>
    <oddHeader>&amp;L&amp;"Meiryo UI"&amp;"Meiryo UI,Regular"&amp;9契約管理バッチサーバ　CPU高負荷の見方&amp;R&amp;"Meiryo UI,Regular"&amp;9インフラ視点　2026-10-10</oddHeader>
    <oddFooter>&amp;L&amp;"Meiryo UI,Regular"&amp;8提示されたtopの1時点。アラーム定義とインスタンスタイプ名は未参照。&amp;R&amp;"Meiryo UI,Regular"&amp;8&amp;P / &amp;N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1A1A1A"/>
    <outlinePr summaryBelow="1" summaryRight="1"/>
    <pageSetUpPr fitToPage="1"/>
  </sheetPr>
  <dimension ref="A1:D16"/>
  <sheetViews>
    <sheetView showGridLines="0" view="normal" zoomScale="10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8" customWidth="1" min="1" max="1"/>
    <col width="55" customWidth="1" min="2" max="2"/>
    <col width="55" customWidth="1" min="3" max="3"/>
    <col width="28" customWidth="1" min="4" max="4"/>
  </cols>
  <sheetData>
    <row r="1" ht="34" customHeight="1">
      <c r="A1" s="60" t="inlineStr">
        <is>
          <t>根拠と、この資料の限界</t>
        </is>
      </c>
      <c r="B1" s="61" t="n"/>
      <c r="C1" s="61" t="n"/>
      <c r="D1" s="61" t="n"/>
    </row>
    <row r="2" ht="28" customHeight="1">
      <c r="A2" s="3" t="inlineStr">
        <is>
          <t>数値の出典は提示されたtop。仕組みの出典は公開ドキュメント。現行アラームの出典は、まだ無い。</t>
        </is>
      </c>
      <c r="B2" s="4" t="n"/>
      <c r="C2" s="4" t="n"/>
      <c r="D2" s="4" t="n"/>
    </row>
    <row r="3"/>
    <row r="4" ht="30" customHeight="1">
      <c r="A4" s="8" t="inlineStr">
        <is>
          <t>種類</t>
        </is>
      </c>
      <c r="B4" s="8" t="inlineStr">
        <is>
          <t>見ているもの</t>
        </is>
      </c>
      <c r="C4" s="8" t="inlineStr">
        <is>
          <t>この資料での使い方</t>
        </is>
      </c>
      <c r="D4" s="8" t="inlineStr">
        <is>
          <t>限界</t>
        </is>
      </c>
    </row>
    <row r="5" ht="61" customHeight="1">
      <c r="A5" s="24" t="inlineStr">
        <is>
          <t>計測</t>
        </is>
      </c>
      <c r="B5" s="10" t="inlineStr">
        <is>
          <t>提示されたtopの1画面</t>
        </is>
      </c>
      <c r="C5" s="10" t="inlineStr">
        <is>
          <t>CPU内訳、ロード、メモリ、スワップ、プロセス%CPUの根拠。</t>
        </is>
      </c>
      <c r="D5" s="10" t="inlineStr">
        <is>
          <t>時刻、間隔、ダンプの何分目かが無い。継続時間はロードの形から推定。</t>
        </is>
      </c>
    </row>
    <row r="6" ht="44" customHeight="1">
      <c r="A6" s="27" t="inlineStr">
        <is>
          <t>AWS</t>
        </is>
      </c>
      <c r="B6" s="13" t="inlineStr">
        <is>
          <t>CloudWatchのCPUアラーム手順。2026-10-03時点の公開文書。</t>
        </is>
      </c>
      <c r="C6" s="13" t="inlineStr">
        <is>
          <t>70%・5分・2回はサンプルであり初期値ではない、と区別する。</t>
        </is>
      </c>
      <c r="D6" s="13" t="inlineStr">
        <is>
          <t>対象アカウントのアラームは見ていない。</t>
        </is>
      </c>
    </row>
    <row r="7" ht="44" customHeight="1">
      <c r="A7" s="24" t="inlineStr">
        <is>
          <t>AWS</t>
        </is>
      </c>
      <c r="B7" s="10" t="inlineStr">
        <is>
          <t>規範ガイダンスのアラーム例。</t>
        </is>
      </c>
      <c r="C7" s="10" t="inlineStr">
        <is>
          <t>日次80%はサイズ見直しの例で、バッチの電話基準ではない。</t>
        </is>
      </c>
      <c r="D7" s="10" t="inlineStr">
        <is>
          <t>組織の標準が別にある可能性はある。それは未提示。</t>
        </is>
      </c>
    </row>
    <row r="8" ht="44" customHeight="1">
      <c r="A8" s="27" t="inlineStr">
        <is>
          <t>AWS</t>
        </is>
      </c>
      <c r="B8" s="13" t="inlineStr">
        <is>
          <t>EC2コンピュート最適化の形。8vCPUと16GiB。</t>
        </is>
      </c>
      <c r="C8" s="13" t="inlineStr">
        <is>
          <t>topのメモリと提示vCPUからの推定。c5/c6i/c7i/c8iの2xlargeがこの形。</t>
        </is>
      </c>
      <c r="D8" s="13" t="inlineStr">
        <is>
          <t>タイプ名そのものは未確認。</t>
        </is>
      </c>
    </row>
    <row r="9" ht="44" customHeight="1">
      <c r="A9" s="24" t="inlineStr">
        <is>
          <t>Java</t>
        </is>
      </c>
      <c r="B9" s="10" t="inlineStr">
        <is>
          <t>HotSpotのParallelGCThreads。CPUが8以下ならその数、超えたら約5/8。</t>
        </is>
      </c>
      <c r="C9" s="10" t="inlineStr">
        <is>
          <t>ITは8、本番32は23、という名札の数。</t>
        </is>
      </c>
      <c r="D9" s="10" t="inlineStr">
        <is>
          <t>JDKの版とGCの種類で差がある。PrintFlagsFinalが確定値。</t>
        </is>
      </c>
    </row>
    <row r="10" ht="61" customHeight="1">
      <c r="A10" s="27" t="inlineStr">
        <is>
          <t>Java</t>
        </is>
      </c>
      <c r="B10" s="13" t="inlineStr">
        <is>
          <t>ActiveProcessorCount。JDK 10、およびJDK 8の後期更新。</t>
        </is>
      </c>
      <c r="C10" s="13" t="inlineStr">
        <is>
          <t>複数JVMが1台を共有する前提が崩れたことへの、公式のつまみ。</t>
        </is>
      </c>
      <c r="D10" s="13" t="inlineStr">
        <is>
          <t>ジョブの起動スクリプトを見ていないので、未設定と断定はしない。未設定と推定。</t>
        </is>
      </c>
    </row>
    <row r="11" ht="44" customHeight="1">
      <c r="A11" s="24" t="inlineStr">
        <is>
          <t>Linux</t>
        </is>
      </c>
      <c r="B11" s="10" t="inlineStr">
        <is>
          <t>topの%CPUとload averageの定義。</t>
        </is>
      </c>
      <c r="C11" s="10" t="inlineStr">
        <is>
          <t>100%超えと、running 1なのにロード17、の両方を説明するため。</t>
        </is>
      </c>
      <c r="D11" s="10" t="inlineStr">
        <is>
          <t>カーネルの版による微差はある。読み方の結論は変わらない。</t>
        </is>
      </c>
    </row>
    <row r="12" ht="44" customHeight="1">
      <c r="A12" s="27" t="inlineStr">
        <is>
          <t>算数</t>
        </is>
      </c>
      <c r="B12" s="13" t="inlineStr">
        <is>
          <t>同じ長さ・1コア制限の終了指数。</t>
        </is>
      </c>
      <c r="C12" s="13" t="inlineStr">
        <is>
          <t>8と10、32と58の壁時計の違いを、同じ条件で比べる。</t>
        </is>
      </c>
      <c r="D12" s="13" t="inlineStr">
        <is>
          <t>実測の代替ではない。オーバーヘッドを含まない。</t>
        </is>
      </c>
    </row>
    <row r="13"/>
    <row r="14" ht="32" customHeight="1">
      <c r="A14" s="62" t="inlineStr">
        <is>
          <t>インフラ意見の一文：今回のクリティカルは、想定した一時的高負荷として扱ってよい。対策として検討すべきなのは、インスタンスの増強ではなく、警報をバッチの役割に合わせること、そして同時実行数とGCスレッドを実測で決めること。増強は、そのあとも処理時間が窓を超える場合に限る。</t>
        </is>
      </c>
      <c r="B14" s="63" t="n"/>
      <c r="C14" s="63" t="n"/>
      <c r="D14" s="63" t="n"/>
    </row>
    <row r="15" ht="32" customHeight="1">
      <c r="A15" s="64" t="n"/>
      <c r="B15" s="64" t="n"/>
      <c r="C15" s="64" t="n"/>
      <c r="D15" s="64" t="n"/>
    </row>
    <row r="16" ht="32" customHeight="1">
      <c r="A16" s="64" t="n"/>
      <c r="B16" s="64" t="n"/>
      <c r="C16" s="64" t="n"/>
      <c r="D16" s="64" t="n"/>
    </row>
  </sheetData>
  <autoFilter ref="A4:D12"/>
  <mergeCells count="3">
    <mergeCell ref="A1:D1"/>
    <mergeCell ref="A14:D16"/>
    <mergeCell ref="A2:D2"/>
  </mergeCells>
  <printOptions horizontalCentered="1"/>
  <pageMargins left="0.45" right="0.45" top="0.7" bottom="0.55" header="0.28" footer="0.28"/>
  <pageSetup orientation="landscape" paperSize="8" fitToHeight="0" fitToWidth="1" horizontalDpi="300" verticalDpi="300"/>
  <headerFooter>
    <oddHeader>&amp;L&amp;"Meiryo UI"&amp;"Meiryo UI,Regular"&amp;9契約管理バッチサーバ　CPU高負荷の見方&amp;R&amp;"Meiryo UI,Regular"&amp;9インフラ視点　2026-10-10</oddHeader>
    <oddFooter>&amp;L&amp;"Meiryo UI,Regular"&amp;8提示されたtopの1時点。アラーム定義とインスタンスタイプ名は未参照。&amp;R&amp;"Meiryo UI,Regular"&amp;8&amp;P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インフラ視点の説明資料</dc:creator>
  <dc:title xmlns:dc="http://purl.org/dc/elements/1.1/">契約管理バッチ CPU高負荷の見方</dc:title>
  <dc:subject xmlns:dc="http://purl.org/dc/elements/1.1/">テーブルダンプ時のCPUクリティカルを、一時的高負荷と警報設計に切り分ける</dc:subject>
  <dcterms:created xmlns:dcterms="http://purl.org/dc/terms/" xmlns:xsi="http://www.w3.org/2001/XMLSchema-instance" xsi:type="dcterms:W3CDTF">2026-10-09T19:01:50Z</dcterms:created>
  <dcterms:modified xmlns:dcterms="http://purl.org/dc/terms/" xmlns:xsi="http://www.w3.org/2001/XMLSchema-instance" xsi:type="dcterms:W3CDTF">2026-10-09T19:01:51Z</dcterms:modified>
  <cp:category>インフラ意見</cp:category>
  <cp:keywords>EC2,CPU,JVM,JP1,load average,CloudWatch</cp:keywords>
</cp:coreProperties>
</file>