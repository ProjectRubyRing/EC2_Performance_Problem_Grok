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" sheetId="1" state="visible" r:id="rId1"/>
    <sheet xmlns:r="http://schemas.openxmlformats.org/officeDocument/2006/relationships" name="結論" sheetId="2" state="visible" r:id="rId2"/>
    <sheet xmlns:r="http://schemas.openxmlformats.org/officeDocument/2006/relationships" name="計測" sheetId="3" state="visible" r:id="rId3"/>
    <sheet xmlns:r="http://schemas.openxmlformats.org/officeDocument/2006/relationships" name="たとえ" sheetId="4" state="visible" r:id="rId4"/>
    <sheet xmlns:r="http://schemas.openxmlformats.org/officeDocument/2006/relationships" name="物差し" sheetId="5" state="visible" r:id="rId5"/>
    <sheet xmlns:r="http://schemas.openxmlformats.org/officeDocument/2006/relationships" name="計算" sheetId="6" state="visible" r:id="rId6"/>
    <sheet xmlns:r="http://schemas.openxmlformats.org/officeDocument/2006/relationships" name="ITと本番" sheetId="7" state="visible" r:id="rId7"/>
    <sheet xmlns:r="http://schemas.openxmlformats.org/officeDocument/2006/relationships" name="c7aの仕様" sheetId="8" state="visible" r:id="rId8"/>
    <sheet xmlns:r="http://schemas.openxmlformats.org/officeDocument/2006/relationships" name="JVMの手伝い" sheetId="9" state="visible" r:id="rId9"/>
    <sheet xmlns:r="http://schemas.openxmlformats.org/officeDocument/2006/relationships" name="歴史" sheetId="10" state="visible" r:id="rId10"/>
    <sheet xmlns:r="http://schemas.openxmlformats.org/officeDocument/2006/relationships" name="監視" sheetId="11" state="visible" r:id="rId11"/>
    <sheet xmlns:r="http://schemas.openxmlformats.org/officeDocument/2006/relationships" name="対策" sheetId="12" state="visible" r:id="rId12"/>
    <sheet xmlns:r="http://schemas.openxmlformats.org/officeDocument/2006/relationships" name="用語" sheetId="13" state="visible" r:id="rId13"/>
    <sheet xmlns:r="http://schemas.openxmlformats.org/officeDocument/2006/relationships" name="限界と出典" sheetId="14" state="visible" r:id="rId14"/>
  </sheets>
  <definedNames>
    <definedName name="IT_VCPU">計算!$C$5</definedName>
    <definedName name="IT_JOBS">計算!$C$6</definedName>
    <definedName name="IT_MULTI">計算!$C$7</definedName>
    <definedName name="IT_PER">計算!$C$8</definedName>
    <definedName name="PROD_VCPU">計算!$C$9</definedName>
    <definedName name="PROD_JOBS">計算!$C$10</definedName>
    <definedName name="PROD_MULTI">計算!$C$11</definedName>
    <definedName name="PROD_PER">計算!$C$12</definedName>
    <definedName name="LOAD1">計算!$C$14</definedName>
    <definedName name="LOAD5">計算!$C$15</definedName>
    <definedName name="LOAD15">計算!$C$16</definedName>
    <definedName name="US">計算!$C$17</definedName>
    <definedName name="SY">計算!$C$18</definedName>
    <definedName name="NI">計算!$C$19</definedName>
    <definedName name="WA">計算!$C$20</definedName>
    <definedName name="HI">計算!$C$21</definedName>
    <definedName name="SI">計算!$C$22</definedName>
    <definedName name="ST">計算!$C$23</definedName>
    <definedName name="MEM_TOTAL">計算!$C$24</definedName>
    <definedName name="MEM_FREE">計算!$C$25</definedName>
    <definedName name="MEM_USED">計算!$C$26</definedName>
    <definedName name="MEM_CACHE">計算!$C$27</definedName>
    <definedName name="MEM_AVAIL">計算!$C$28</definedName>
    <definedName name="SWAP_TOTAL">計算!$C$29</definedName>
    <definedName name="SWAP_USED">計算!$C$30</definedName>
    <definedName name="PROC1">計算!$C$31</definedName>
    <definedName name="PROC2">計算!$C$32</definedName>
    <definedName name="PROC3">計算!$C$33</definedName>
    <definedName name="PROC4">計算!$C$34</definedName>
    <definedName name="PROC5">計算!$C$35</definedName>
    <definedName name="PROC6">計算!$C$36</definedName>
    <definedName name="PROC7">計算!$C$37</definedName>
    <definedName name="IT_CONC">計算!$C$40</definedName>
    <definedName name="IT_RATIO">計算!$C$41</definedName>
    <definedName name="PROD_CONC">計算!$C$42</definedName>
    <definedName name="PROD_RATIO">計算!$C$43</definedName>
    <definedName name="LOAD1_PER">計算!$C$44</definedName>
    <definedName name="LOAD5_PER">計算!$C$45</definedName>
    <definedName name="LOAD15_PER">計算!$C$46</definedName>
    <definedName name="QUEUE1">計算!$C$47</definedName>
    <definedName name="CPU_SUM">計算!$C$48</definedName>
    <definedName name="IDLE">計算!$C$49</definedName>
    <definedName name="PROC_SUM">計算!$C$50</definedName>
    <definedName name="PROC_OF">計算!$C$51</definedName>
    <definedName name="PROC_OVER">計算!$C$52</definedName>
    <definedName name="AVAIL_RATIO">計算!$C$53</definedName>
    <definedName name="GC_IT">計算!$C$54</definedName>
    <definedName name="GC_PROD">計算!$C$55</definedName>
    <definedName name="GC_IT_SUM">計算!$C$56</definedName>
    <definedName name="GC_PROD_SUM">計算!$C$57</definedName>
    <definedName name="GC_58">計算!$C$58</definedName>
    <definedName name="_xlnm.Print_Titles" localSheetId="0">'表紙'!$1:$5</definedName>
    <definedName name="_xlnm.Print_Area" localSheetId="0">'表紙'!$A$1:$C$34</definedName>
    <definedName name="_xlnm.Print_Titles" localSheetId="1">'結論'!$1:$4</definedName>
    <definedName name="_xlnm.Print_Area" localSheetId="1">'結論'!$A$1:$D$17</definedName>
    <definedName name="_xlnm.Print_Titles" localSheetId="2">'計測'!$1:$4</definedName>
    <definedName name="_xlnm.Print_Area" localSheetId="2">'計測'!$A$1:$E$22</definedName>
    <definedName name="_xlnm.Print_Titles" localSheetId="3">'たとえ'!$1:$3</definedName>
    <definedName name="_xlnm.Print_Area" localSheetId="3">'たとえ'!$A$1:$B$10</definedName>
    <definedName name="_xlnm.Print_Titles" localSheetId="4">'物差し'!$1:$4</definedName>
    <definedName name="_xlnm.Print_Area" localSheetId="4">'物差し'!$A$1:$D$18</definedName>
    <definedName name="_xlnm._FilterDatabase" localSheetId="5" hidden="1">'計算'!$A$4:$E$37</definedName>
    <definedName name="_xlnm.Print_Titles" localSheetId="5">'計算'!$1:$4</definedName>
    <definedName name="_xlnm.Print_Area" localSheetId="5">'計算'!$A$1:$L$71</definedName>
    <definedName name="_xlnm.Print_Titles" localSheetId="6">'ITと本番'!$1:$4</definedName>
    <definedName name="_xlnm.Print_Area" localSheetId="6">'ITと本番'!$A$1:$G$17</definedName>
    <definedName name="_xlnm.Print_Titles" localSheetId="7">'c7aの仕様'!$1:$4</definedName>
    <definedName name="_xlnm.Print_Area" localSheetId="7">'c7aの仕様'!$A$1:$D$18</definedName>
    <definedName name="_xlnm.Print_Titles" localSheetId="8">'JVMの手伝い'!$1:$4</definedName>
    <definedName name="_xlnm.Print_Area" localSheetId="8">'JVMの手伝い'!$A$1:$D$13</definedName>
    <definedName name="_xlnm.Print_Titles" localSheetId="9">'歴史'!$1:$4</definedName>
    <definedName name="_xlnm.Print_Area" localSheetId="9">'歴史'!$A$1:$C$12</definedName>
    <definedName name="_xlnm.Print_Titles" localSheetId="10">'監視'!$1:$5</definedName>
    <definedName name="_xlnm.Print_Area" localSheetId="10">'監視'!$A$1:$C$17</definedName>
    <definedName name="_xlnm.Print_Titles" localSheetId="11">'対策'!$1:$4</definedName>
    <definedName name="_xlnm.Print_Area" localSheetId="11">'対策'!$A$1:$C$26</definedName>
    <definedName name="_xlnm._FilterDatabase" localSheetId="12" hidden="1">'用語'!$A$3:$C$21</definedName>
    <definedName name="_xlnm.Print_Titles" localSheetId="12">'用語'!$1:$3</definedName>
    <definedName name="_xlnm.Print_Area" localSheetId="12">'用語'!$A$1:$C$21</definedName>
    <definedName name="_xlnm.Print_Titles" localSheetId="13">'限界と出典'!$1:$3</definedName>
    <definedName name="_xlnm.Print_Area" localSheetId="13">'限界と出典'!$A$1:$B$16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#,##0.0"/>
  </numFmts>
  <fonts count="9">
    <font>
      <name val="Meiryo UI"/>
      <family val="2"/>
      <sz val="11"/>
    </font>
    <font>
      <name val="Meiryo UI"/>
      <b val="1"/>
      <color rgb="00FFFFFF"/>
      <sz val="16"/>
    </font>
    <font>
      <name val="Meiryo UI"/>
      <color rgb="00595959"/>
      <sz val="9"/>
    </font>
    <font>
      <name val="Meiryo UI"/>
      <b val="1"/>
      <color rgb="00FFFFFF"/>
      <sz val="11"/>
    </font>
    <font>
      <name val="Meiryo UI"/>
      <b val="1"/>
      <color rgb="001A1A1A"/>
      <sz val="11"/>
    </font>
    <font>
      <name val="Meiryo UI"/>
      <color rgb="001A1A1A"/>
      <sz val="11"/>
    </font>
    <font>
      <name val="Meiryo UI"/>
      <b val="1"/>
      <color rgb="00FFFFFF"/>
      <sz val="12"/>
    </font>
    <font>
      <name val="Meiryo UI"/>
      <color rgb="00FFFFFF"/>
      <sz val="10"/>
    </font>
    <font>
      <name val="Meiryo UI"/>
      <color rgb="00333333"/>
      <sz val="11"/>
    </font>
  </fonts>
  <fills count="10">
    <fill>
      <patternFill/>
    </fill>
    <fill>
      <patternFill patternType="gray125"/>
    </fill>
    <fill>
      <patternFill patternType="solid">
        <fgColor rgb="002C2C2C"/>
      </patternFill>
    </fill>
    <fill>
      <patternFill patternType="solid">
        <fgColor rgb="00F7F7F7"/>
      </patternFill>
    </fill>
    <fill>
      <patternFill patternType="solid">
        <fgColor rgb="004A4A4A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E8E8E8"/>
      </patternFill>
    </fill>
    <fill>
      <patternFill patternType="solid">
        <fgColor rgb="00FAFAFA"/>
      </patternFill>
    </fill>
    <fill>
      <patternFill patternType="solid">
        <fgColor rgb="00D9D9D9"/>
      </patternFill>
    </fill>
  </fills>
  <borders count="7">
    <border>
      <left/>
      <right/>
      <top/>
      <bottom/>
      <diagonal/>
    </border>
    <border>
      <left style="thin">
        <color rgb="00B5B5B5"/>
      </left>
      <right style="thin">
        <color rgb="00B5B5B5"/>
      </right>
      <top style="thin">
        <color rgb="00B5B5B5"/>
      </top>
      <bottom style="thin">
        <color rgb="00B5B5B5"/>
      </bottom>
    </border>
    <border>
      <left style="medium">
        <color rgb="00404040"/>
      </left>
      <right style="medium">
        <color rgb="00404040"/>
      </right>
      <top style="medium">
        <color rgb="00404040"/>
      </top>
      <bottom style="medium">
        <color rgb="00404040"/>
      </bottom>
    </border>
    <border>
      <left/>
      <right/>
      <top style="thin">
        <color rgb="00B5B5B5"/>
      </top>
      <bottom/>
      <diagonal/>
    </border>
    <border>
      <left/>
      <right style="thin">
        <color rgb="00B5B5B5"/>
      </right>
      <top style="thin">
        <color rgb="00B5B5B5"/>
      </top>
      <bottom/>
      <diagonal/>
    </border>
    <border>
      <left/>
      <right style="thin">
        <color rgb="00B5B5B5"/>
      </right>
      <top style="thin">
        <color rgb="00B5B5B5"/>
      </top>
      <bottom style="thin">
        <color rgb="00B5B5B5"/>
      </bottom>
      <diagonal/>
    </border>
    <border>
      <left/>
      <right/>
      <top style="thin">
        <color rgb="00B5B5B5"/>
      </top>
      <bottom style="thin">
        <color rgb="00B5B5B5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 indent="1"/>
    </xf>
    <xf numFmtId="0" fontId="7" fillId="4" borderId="1" applyAlignment="1" pivotButton="0" quotePrefix="0" xfId="0">
      <alignment horizontal="left" vertical="center" wrapText="1" indent="1"/>
    </xf>
    <xf numFmtId="0" fontId="5" fillId="9" borderId="1" applyAlignment="1" pivotButton="0" quotePrefix="0" xfId="0">
      <alignment horizontal="left" vertical="top" wrapText="1" indent="1"/>
    </xf>
    <xf numFmtId="0" fontId="3" fillId="2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top" wrapText="1" indent="1"/>
    </xf>
    <xf numFmtId="0" fontId="5" fillId="7" borderId="1" applyAlignment="1" pivotButton="0" quotePrefix="0" xfId="0">
      <alignment horizontal="left" vertical="top" wrapText="1" indent="1"/>
    </xf>
    <xf numFmtId="0" fontId="4" fillId="9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 indent="1"/>
    </xf>
    <xf numFmtId="0" fontId="5" fillId="6" borderId="1" applyAlignment="1" pivotButton="0" quotePrefix="0" xfId="0">
      <alignment horizontal="left" vertical="top" wrapText="1" indent="1"/>
    </xf>
    <xf numFmtId="0" fontId="6" fillId="2" borderId="1" applyAlignment="1" pivotButton="0" quotePrefix="0" xfId="0">
      <alignment horizontal="left" vertical="center" wrapText="1" indent="1"/>
    </xf>
    <xf numFmtId="0" fontId="5" fillId="3" borderId="1" applyAlignment="1" pivotButton="0" quotePrefix="0" xfId="0">
      <alignment horizontal="left" vertical="top" wrapText="1" indent="1"/>
    </xf>
    <xf numFmtId="0" fontId="6" fillId="4" borderId="1" applyAlignment="1" pivotButton="0" quotePrefix="0" xfId="0">
      <alignment horizontal="left" vertical="center" wrapText="1" indent="1"/>
    </xf>
    <xf numFmtId="0" fontId="4" fillId="7" borderId="1" applyAlignment="1" pivotButton="0" quotePrefix="0" xfId="0">
      <alignment horizontal="left" vertical="center" wrapText="1" indent="1"/>
    </xf>
    <xf numFmtId="0" fontId="5" fillId="7" borderId="1" applyAlignment="1" pivotButton="0" quotePrefix="0" xfId="0">
      <alignment horizontal="left" vertical="center" wrapText="1" indent="1"/>
    </xf>
    <xf numFmtId="0" fontId="4" fillId="6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left" vertical="center" wrapText="1" indent="1"/>
    </xf>
    <xf numFmtId="0" fontId="3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 indent="1"/>
    </xf>
    <xf numFmtId="0" fontId="2" fillId="3" borderId="1" applyAlignment="1" pivotButton="0" quotePrefix="0" xfId="0">
      <alignment horizontal="left" vertical="center" wrapText="1" indent="1"/>
    </xf>
    <xf numFmtId="0" fontId="4" fillId="3" borderId="1" applyAlignment="1" pivotButton="0" quotePrefix="0" xfId="0">
      <alignment horizontal="left" vertical="center" wrapText="1" indent="1"/>
    </xf>
    <xf numFmtId="2" fontId="5" fillId="3" borderId="1" applyAlignment="1" pivotButton="0" quotePrefix="0" xfId="0">
      <alignment horizontal="right" vertical="center" wrapText="1"/>
    </xf>
    <xf numFmtId="0" fontId="8" fillId="3" borderId="1" applyAlignment="1" pivotButton="0" quotePrefix="0" xfId="0">
      <alignment horizontal="left" vertical="center" wrapText="1" indent="1"/>
    </xf>
    <xf numFmtId="0" fontId="5" fillId="3" borderId="1" applyAlignment="1" pivotButton="0" quotePrefix="0" xfId="0">
      <alignment horizontal="left" vertical="center" wrapText="1" indent="1"/>
    </xf>
    <xf numFmtId="2" fontId="5" fillId="6" borderId="1" applyAlignment="1" pivotButton="0" quotePrefix="0" xfId="0">
      <alignment horizontal="right" vertical="center" wrapText="1"/>
    </xf>
    <xf numFmtId="0" fontId="8" fillId="6" borderId="1" applyAlignment="1" pivotButton="0" quotePrefix="0" xfId="0">
      <alignment horizontal="left" vertical="center" wrapText="1" indent="1"/>
    </xf>
    <xf numFmtId="164" fontId="5" fillId="6" borderId="1" applyAlignment="1" pivotButton="0" quotePrefix="0" xfId="0">
      <alignment horizontal="right" vertical="center" wrapText="1"/>
    </xf>
    <xf numFmtId="164" fontId="5" fillId="3" borderId="1" applyAlignment="1" pivotButton="0" quotePrefix="0" xfId="0">
      <alignment horizontal="right" vertical="center" wrapText="1"/>
    </xf>
    <xf numFmtId="165" fontId="5" fillId="6" borderId="1" applyAlignment="1" pivotButton="0" quotePrefix="0" xfId="0">
      <alignment horizontal="right" vertical="center" wrapText="1"/>
    </xf>
    <xf numFmtId="1" fontId="5" fillId="3" borderId="1" applyAlignment="1" pivotButton="0" quotePrefix="0" xfId="0">
      <alignment horizontal="right" vertical="center" wrapText="1"/>
    </xf>
    <xf numFmtId="166" fontId="5" fillId="6" borderId="1" applyAlignment="1" pivotButton="0" quotePrefix="0" xfId="0">
      <alignment horizontal="right" vertical="center" wrapText="1"/>
    </xf>
    <xf numFmtId="0" fontId="4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 indent="1"/>
    </xf>
    <xf numFmtId="0" fontId="4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 indent="1"/>
    </xf>
    <xf numFmtId="1" fontId="4" fillId="5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2" fontId="5" fillId="7" borderId="1" applyAlignment="1" pivotButton="0" quotePrefix="0" xfId="0">
      <alignment horizontal="right" vertical="center" wrapText="1"/>
    </xf>
    <xf numFmtId="164" fontId="5" fillId="7" borderId="1" applyAlignment="1" pivotButton="0" quotePrefix="0" xfId="0">
      <alignment horizontal="right" vertical="center" wrapText="1"/>
    </xf>
    <xf numFmtId="165" fontId="5" fillId="7" borderId="1" applyAlignment="1" pivotButton="0" quotePrefix="0" xfId="0">
      <alignment horizontal="right" vertical="center" wrapText="1"/>
    </xf>
    <xf numFmtId="1" fontId="5" fillId="7" borderId="1" applyAlignment="1" pivotButton="0" quotePrefix="0" xfId="0">
      <alignment horizontal="right" vertical="center" wrapText="1"/>
    </xf>
    <xf numFmtId="1" fontId="5" fillId="6" borderId="1" applyAlignment="1" pivotButton="0" quotePrefix="0" xfId="0">
      <alignment horizontal="right" vertical="center" wrapText="1"/>
    </xf>
    <xf numFmtId="2" fontId="5" fillId="8" borderId="1" applyAlignment="1" pivotButton="0" quotePrefix="0" xfId="0">
      <alignment horizontal="right" vertical="center" wrapText="1"/>
    </xf>
    <xf numFmtId="1" fontId="5" fillId="8" borderId="1" applyAlignment="1" pivotButton="0" quotePrefix="0" xfId="0">
      <alignment horizontal="right" vertical="center" wrapText="1"/>
    </xf>
    <xf numFmtId="2" fontId="5" fillId="9" borderId="1" applyAlignment="1" pivotButton="0" quotePrefix="0" xfId="0">
      <alignment horizontal="right" vertical="center" wrapText="1"/>
    </xf>
    <xf numFmtId="1" fontId="5" fillId="3" borderId="1" applyAlignment="1" pivotButton="0" quotePrefix="0" xfId="0">
      <alignment horizontal="center" vertical="center" wrapText="1"/>
    </xf>
    <xf numFmtId="1" fontId="5" fillId="6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left" vertical="top" wrapText="1" indent="1"/>
    </xf>
    <xf numFmtId="0" fontId="2" fillId="3" borderId="1" applyAlignment="1" pivotButton="0" quotePrefix="0" xfId="0">
      <alignment horizontal="left" vertical="top" wrapText="1" indent="1"/>
    </xf>
    <xf numFmtId="0" fontId="4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top" wrapText="1" indent="1"/>
    </xf>
    <xf numFmtId="0" fontId="0" fillId="0" borderId="6" pivotButton="0" quotePrefix="0" xfId="0"/>
    <xf numFmtId="0" fontId="0" fillId="0" borderId="5" pivotButton="0" quotePrefix="0" xfId="0"/>
    <xf numFmtId="165" fontId="5" fillId="6" borderId="1" applyAlignment="1" pivotButton="0" quotePrefix="0" xfId="0">
      <alignment horizontal="right" vertical="center" wrapText="1"/>
    </xf>
    <xf numFmtId="166" fontId="5" fillId="6" borderId="1" applyAlignment="1" pivotButton="0" quotePrefix="0" xfId="0">
      <alignment horizontal="right" vertical="center" wrapText="1"/>
    </xf>
    <xf numFmtId="165" fontId="5" fillId="7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1">
    <dxf>
      <font>
        <name val="Meiryo UI"/>
        <b val="1"/>
        <color rgb="001A1A1A"/>
        <sz val="11"/>
      </font>
      <fill>
        <patternFill patternType="solid">
          <fgColor rgb="00D0D0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C2C2C"/>
    <outlinePr summaryBelow="1" summaryRight="1"/>
    <pageSetUpPr fitToPage="1"/>
  </sheetPr>
  <dimension ref="A1:C34"/>
  <sheetViews>
    <sheetView showGridLines="0" view="normal" zoomScale="110" workbookViewId="0">
      <pane ySplit="5" topLeftCell="A6" activePane="bottomLeft" state="frozen"/>
      <selection pane="bottomLeft" activeCell="A1" sqref="A1"/>
    </sheetView>
  </sheetViews>
  <sheetFormatPr baseColWidth="8" defaultRowHeight="18"/>
  <cols>
    <col width="38" customWidth="1" min="1" max="1"/>
    <col width="78" customWidth="1" min="2" max="2"/>
    <col width="28" customWidth="1" min="3" max="3"/>
  </cols>
  <sheetData>
    <row r="1" ht="34" customHeight="1">
      <c r="A1" s="1" t="inlineStr">
        <is>
          <t>契約管理バッチのテーブルダンプで、CPUクリティカルが鳴った件</t>
        </is>
      </c>
      <c r="B1" s="55" t="n"/>
      <c r="C1" s="56" t="n"/>
    </row>
    <row r="2" ht="24" customHeight="1">
      <c r="A2" s="2" t="inlineStr">
        <is>
          <t>IT環境  c7a.2xlarge（x86_64、8 vCPU＝8物理コア、16 GiB、ネットワークは基準 3.125 Gbps / 最大 12.5 Gbps）  2026-10-11</t>
        </is>
      </c>
      <c r="B2" s="55" t="n"/>
      <c r="C2" s="56" t="n"/>
    </row>
    <row r="3" ht="46" customHeight="1">
      <c r="A3" s="3" t="inlineStr">
        <is>
          <t>今回のクリティカルは、故障ではありません。8個の本物のコアに計算役を10人入れたので、立ち上がりからおよそ1分、コアが満杯になりました。先に直すのはスペックではなく、警報の設計と、JP1マルチと、JVMが見るコア数です。</t>
        </is>
      </c>
      <c r="B3" s="55" t="n"/>
      <c r="C3" s="56" t="n"/>
    </row>
    <row r="5" ht="22" customHeight="1">
      <c r="A5" s="4" t="inlineStr">
        <is>
          <t>質問</t>
        </is>
      </c>
      <c r="B5" s="4" t="inlineStr">
        <is>
          <t>答え</t>
        </is>
      </c>
      <c r="C5" s="4" t="inlineStr">
        <is>
          <t>判断</t>
        </is>
      </c>
    </row>
    <row r="6" ht="64" customHeight="1">
      <c r="A6" s="5" t="inlineStr">
        <is>
          <t>CPUが100%を超えることは、一般に起きるか</t>
        </is>
      </c>
      <c r="B6" s="6" t="inlineStr">
        <is>
          <t>起きます。マシン全体の物差しでは今回は約99.9%で、100は超えていません。1本のJVMを1コア＝100%で見た行は125%のように超えます。複数コアの機械では普通です。</t>
        </is>
      </c>
      <c r="C6" s="7" t="inlineStr">
        <is>
          <t>想定内</t>
        </is>
      </c>
    </row>
    <row r="7" ht="64" customHeight="1">
      <c r="A7" s="8" t="inlineStr">
        <is>
          <t>Warning / Critical の現行値は何か</t>
        </is>
      </c>
      <c r="B7" s="9" t="inlineStr">
        <is>
          <t>この環境からアラーム定義は参照できません。現行のパーセントは未確認です。CloudWatchの状態名は OK / ALARM / INSUFFICIENT_DATA で、Warning と Critical は別の道具の重大度です。</t>
        </is>
      </c>
      <c r="C7" s="7" t="inlineStr">
        <is>
          <t>未確認</t>
        </is>
      </c>
    </row>
    <row r="8" ht="82" customHeight="1">
      <c r="A8" s="5" t="inlineStr">
        <is>
          <t>c7a.2xlarge のサイズは、ダンプを続ける前提で妥当か</t>
        </is>
      </c>
      <c r="B8" s="6" t="inlineStr">
        <is>
          <t>CPUとメモリは、今回の画面の範囲では妥当です。100%近くまで使うことが、この計算機の仕事です。増強の材料は、この1画面ではなく、整えたあとの所要時間と、EBS・ネットワークの基準帯域です。</t>
        </is>
      </c>
      <c r="C8" s="7" t="inlineStr">
        <is>
          <t>現状維持</t>
        </is>
      </c>
    </row>
    <row r="9" ht="64" customHeight="1">
      <c r="A9" s="8" t="inlineStr">
        <is>
          <t>監視の閾値は妥当か</t>
        </is>
      </c>
      <c r="B9" s="9" t="inlineStr">
        <is>
          <t>数分の90%超で電話が鳴る設定なら、バッチサーバの役割には合っていません。15分ロードはコアあたり0.25なので、長い容量不足の証拠にはなっていません。</t>
        </is>
      </c>
      <c r="C9" s="7" t="inlineStr">
        <is>
          <t>見直し</t>
        </is>
      </c>
    </row>
    <row r="10" ht="82" customHeight="1">
      <c r="A10" s="5" t="inlineStr">
        <is>
          <t>JVM 10本を、vCPUが8だから8にした方がよいか</t>
        </is>
      </c>
      <c r="B10" s="6" t="inlineStr">
        <is>
          <t>待ち行列を消す基準は8です。警報を止める目的では、8にしても止まりません。8本が8コアを使っているあいだ、全体CPUはやはり100%近くなります。仕事が10本前後だけなら、10の方が壁時計は短いです。</t>
        </is>
      </c>
      <c r="C10" s="7" t="inlineStr">
        <is>
          <t>基準は8</t>
        </is>
      </c>
    </row>
    <row r="11" ht="82" customHeight="1">
      <c r="A11" s="8" t="inlineStr">
        <is>
          <t>本番は58 JVM、32 vCPU、マルチ32でよいか</t>
        </is>
      </c>
      <c r="B11" s="9" t="inlineStr">
        <is>
          <t>1ジョブがJVMを1本だけ起動するなら、マルチ32はコアへの合わせ方として妥当です。58は仕事の母数です。58本同時はコアの約1.8倍で、基本にしません。各JVMが32コアを見てGCを23本呼ぶ点は、別途フラグで止めます。</t>
        </is>
      </c>
      <c r="C11" s="7" t="inlineStr">
        <is>
          <t>32は妥当</t>
        </is>
      </c>
    </row>
    <row r="12" ht="64" customHeight="1">
      <c r="A12" s="5" t="inlineStr">
        <is>
          <t>一時的高負荷としてよいか。対策は要るか</t>
        </is>
      </c>
      <c r="B12" s="6" t="inlineStr">
        <is>
          <t>一時的高負荷として扱ってよいです。対策の順番は、警報、JP1マルチをコア数へ、ActiveProcessorCount=1、そのあとの所要時間です。スペック増強は最後です。</t>
        </is>
      </c>
      <c r="C12" s="7" t="inlineStr">
        <is>
          <t>警報が先</t>
        </is>
      </c>
    </row>
    <row r="14" ht="24" customHeight="1">
      <c r="A14" s="10" t="inlineStr">
        <is>
          <t>この版で直したこと</t>
        </is>
      </c>
      <c r="B14" s="55" t="n"/>
      <c r="C14" s="56" t="n"/>
    </row>
    <row r="15" ht="46" customHeight="1">
      <c r="A15" s="11" t="inlineStr">
        <is>
          <t>インスタンスタイプを c7a.2xlarge に確定した。8 vCPU は8個の物理コアで、SMTは無い。以前の「物理4コアだから同時実行6を試す」は、このタイプには使わない。</t>
        </is>
      </c>
      <c r="B15" s="55" t="n"/>
      <c r="C15" s="56" t="n"/>
    </row>
    <row r="16" ht="46" customHeight="1">
      <c r="A16" s="9" t="inlineStr">
        <is>
          <t>カタログの Up to 12.5 Gigabit はバーストの上限。平常の基準は 3.125 Gbps。EBSの基準は 312.5 MB/s、最大は 1,250 MB/s をおよそ30分。今回の画面は wa も st も0なので、クリティカルの原因は帯域ではない。</t>
        </is>
      </c>
      <c r="B16" s="55" t="n"/>
      <c r="C16" s="56" t="n"/>
    </row>
    <row r="17" ht="46" customHeight="1">
      <c r="A17" s="11" t="inlineStr">
        <is>
          <t>JVM数とJP1マルチを分けた。同時JVM = min(仕事の本数, JP1マルチ) × 1ジョブのJVM。ITは10、10、1。本番の58は母数、32は札、として計算する。</t>
        </is>
      </c>
      <c r="B17" s="55" t="n"/>
      <c r="C17" s="56" t="n"/>
    </row>
    <row r="18" ht="46" customHeight="1">
      <c r="A18" s="9" t="inlineStr">
        <is>
          <t>灰色の太枠は入力です。「計算」シートの値を変えると、コア比、終了指数、GCの名札が変わります。アラームの現行パーセントを想像で埋めてはいません。</t>
        </is>
      </c>
      <c r="B18" s="55" t="n"/>
      <c r="C18" s="56" t="n"/>
    </row>
    <row r="20" ht="22" customHeight="1">
      <c r="A20" s="12" t="inlineStr">
        <is>
          <t>シートの案内</t>
        </is>
      </c>
      <c r="B20" s="55" t="n"/>
      <c r="C20" s="56" t="n"/>
    </row>
    <row r="21" ht="20" customHeight="1">
      <c r="A21" s="4" t="inlineStr">
        <is>
          <t>シート</t>
        </is>
      </c>
      <c r="B21" s="4" t="inlineStr">
        <is>
          <t>中身</t>
        </is>
      </c>
      <c r="C21" s="4" t="inlineStr"/>
    </row>
    <row r="22" ht="20" customHeight="1">
      <c r="A22" s="13" t="inlineStr">
        <is>
          <t>結論</t>
        </is>
      </c>
      <c r="B22" s="14" t="inlineStr">
        <is>
          <t>インフラとしての判断と、次の一手</t>
        </is>
      </c>
      <c r="C22" s="56" t="n"/>
    </row>
    <row r="23" ht="20" customHeight="1">
      <c r="A23" s="15" t="inlineStr">
        <is>
          <t>計測</t>
        </is>
      </c>
      <c r="B23" s="16" t="inlineStr">
        <is>
          <t>topの1枚を、上から読む</t>
        </is>
      </c>
      <c r="C23" s="56" t="n"/>
    </row>
    <row r="24" ht="20" customHeight="1">
      <c r="A24" s="13" t="inlineStr">
        <is>
          <t>たとえ</t>
        </is>
      </c>
      <c r="B24" s="14" t="inlineStr">
        <is>
          <t>8台の本物のレジに、10人入れた店</t>
        </is>
      </c>
      <c r="C24" s="56" t="n"/>
    </row>
    <row r="25" ht="20" customHeight="1">
      <c r="A25" s="15" t="inlineStr">
        <is>
          <t>物差し</t>
        </is>
      </c>
      <c r="B25" s="16" t="inlineStr">
        <is>
          <t>100%が3つある理由</t>
        </is>
      </c>
      <c r="C25" s="56" t="n"/>
    </row>
    <row r="26" ht="20" customHeight="1">
      <c r="A26" s="13" t="inlineStr">
        <is>
          <t>計算</t>
        </is>
      </c>
      <c r="B26" s="14" t="inlineStr">
        <is>
          <t>入力すると終了指数が変わる。太枠だけ編集する</t>
        </is>
      </c>
      <c r="C26" s="56" t="n"/>
    </row>
    <row r="27" ht="20" customHeight="1">
      <c r="A27" s="15" t="inlineStr">
        <is>
          <t>ITと本番</t>
        </is>
      </c>
      <c r="B27" s="16" t="inlineStr">
        <is>
          <t>10を8にするか。58と32はどうか</t>
        </is>
      </c>
      <c r="C27" s="56" t="n"/>
    </row>
    <row r="28" ht="20" customHeight="1">
      <c r="A28" s="13" t="inlineStr">
        <is>
          <t>c7aの仕様</t>
        </is>
      </c>
      <c r="B28" s="14" t="inlineStr">
        <is>
          <t>本物のコア、基準の帯域、クレジットの有無</t>
        </is>
      </c>
      <c r="C28" s="56" t="n"/>
    </row>
    <row r="29" ht="20" customHeight="1">
      <c r="A29" s="15" t="inlineStr">
        <is>
          <t>JVMの手伝い</t>
        </is>
      </c>
      <c r="B29" s="16" t="inlineStr">
        <is>
          <t>GCがコア数を見て人数を決める仕組み</t>
        </is>
      </c>
      <c r="C29" s="56" t="n"/>
    </row>
    <row r="30" ht="20" customHeight="1">
      <c r="A30" s="13" t="inlineStr">
        <is>
          <t>歴史</t>
        </is>
      </c>
      <c r="B30" s="14" t="inlineStr">
        <is>
          <t>この数字が必要になった経緯</t>
        </is>
      </c>
      <c r="C30" s="56" t="n"/>
    </row>
    <row r="31" ht="20" customHeight="1">
      <c r="A31" s="15" t="inlineStr">
        <is>
          <t>監視</t>
        </is>
      </c>
      <c r="B31" s="16" t="inlineStr">
        <is>
          <t>現行値は未確認。続けるならこの閾値</t>
        </is>
      </c>
      <c r="C31" s="56" t="n"/>
    </row>
    <row r="32" ht="20" customHeight="1">
      <c r="A32" s="13" t="inlineStr">
        <is>
          <t>対策</t>
        </is>
      </c>
      <c r="B32" s="14" t="inlineStr">
        <is>
          <t>手を入れる順番</t>
        </is>
      </c>
      <c r="C32" s="56" t="n"/>
    </row>
    <row r="33" ht="20" customHeight="1">
      <c r="A33" s="15" t="inlineStr">
        <is>
          <t>用語</t>
        </is>
      </c>
      <c r="B33" s="16" t="inlineStr">
        <is>
          <t>まずこう読む、の一覧</t>
        </is>
      </c>
      <c r="C33" s="56" t="n"/>
    </row>
    <row r="34" ht="20" customHeight="1">
      <c r="A34" s="13" t="inlineStr">
        <is>
          <t>限界と出典</t>
        </is>
      </c>
      <c r="B34" s="14" t="inlineStr">
        <is>
          <t>見ていないものと、数値の出所</t>
        </is>
      </c>
      <c r="C34" s="56" t="n"/>
    </row>
  </sheetData>
  <mergeCells count="22">
    <mergeCell ref="B25:C25"/>
    <mergeCell ref="A18:C18"/>
    <mergeCell ref="B22:C22"/>
    <mergeCell ref="A3:C3"/>
    <mergeCell ref="B31:C31"/>
    <mergeCell ref="B27:C27"/>
    <mergeCell ref="A2:C2"/>
    <mergeCell ref="A14:C14"/>
    <mergeCell ref="A17:C17"/>
    <mergeCell ref="B23:C23"/>
    <mergeCell ref="A20:C20"/>
    <mergeCell ref="B29:C29"/>
    <mergeCell ref="B34:C34"/>
    <mergeCell ref="B28:C28"/>
    <mergeCell ref="A15:C15"/>
    <mergeCell ref="B24:C24"/>
    <mergeCell ref="B30:C30"/>
    <mergeCell ref="B33:C33"/>
    <mergeCell ref="A1:C1"/>
    <mergeCell ref="B32:C32"/>
    <mergeCell ref="B26:C26"/>
    <mergeCell ref="A16:C16"/>
  </mergeCells>
  <printOptions horizontalCentered="1"/>
  <pageMargins left="0.45" right="0.45" top="0.7" bottom="0.55" header="0.28" footer="0.28"/>
  <pageSetup orientation="landscape" paperSize="9" scale="100" fitToHeight="1" fitToWidth="1"/>
  <headerFooter>
    <oddHeader>&amp;L&amp;"Meiryo UI"&amp;9 契約管理バッチ  テーブルダンプのCPU&amp;C&amp;"Meiryo UI"&amp;9 &amp;R表紙</oddHeader>
    <oddFooter>&amp;L&amp;"Meiryo UI"&amp;8 2026-10-11  インフラ所見  アラームの現行パーセントは未確認&amp;R&amp;"Meiryo UI"&amp;8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3A3A3A"/>
    <outlinePr summaryBelow="1" summaryRight="1"/>
    <pageSetUpPr fitToPage="1"/>
  </sheetPr>
  <dimension ref="A1:D17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24" customWidth="1" min="1" max="1"/>
    <col width="50" customWidth="1" min="2" max="2"/>
    <col width="50" customWidth="1" min="3" max="3"/>
    <col width="28" customWidth="1" min="4" max="4"/>
  </cols>
  <sheetData>
    <row r="1" ht="32" customHeight="1">
      <c r="A1" s="1" t="inlineStr">
        <is>
          <t>結論　インフラとして、この1回をどう扱うか</t>
        </is>
      </c>
      <c r="B1" s="55" t="n"/>
      <c r="C1" s="55" t="n"/>
      <c r="D1" s="56" t="n"/>
    </row>
    <row r="2" ht="46" customHeight="1">
      <c r="A2" s="3" t="inlineStr">
        <is>
          <t>処理が業務の窓に収まっているなら、インスタンスは大きくしません。検討するのは警報です。バッチの仕事はCPUを使い切ることなので、数分の90%で電話が鳴る設定は、このサーバの役割に合っていません。</t>
        </is>
      </c>
      <c r="B2" s="55" t="n"/>
      <c r="C2" s="55" t="n"/>
      <c r="D2" s="56" t="n"/>
    </row>
    <row r="4" ht="22" customHeight="1">
      <c r="A4" s="17" t="inlineStr">
        <is>
          <t>見ること</t>
        </is>
      </c>
      <c r="B4" s="17" t="inlineStr">
        <is>
          <t>今回の事実</t>
        </is>
      </c>
      <c r="C4" s="17" t="inlineStr">
        <is>
          <t>だからこう判断する</t>
        </is>
      </c>
      <c r="D4" s="17" t="inlineStr">
        <is>
          <t>次の一手</t>
        </is>
      </c>
    </row>
    <row r="5" ht="46" customHeight="1">
      <c r="A5" s="18" t="inlineStr">
        <is>
          <t>全体CPU</t>
        </is>
      </c>
      <c r="B5" s="11" t="inlineStr">
        <is>
          <t>内訳の合計は計算式どおり約99.9%。空きは約0.1%</t>
        </is>
      </c>
      <c r="C5" s="11" t="inlineStr">
        <is>
          <t>満点の直前。100%超えは全体の物差しでは起きていない</t>
        </is>
      </c>
      <c r="D5" s="11" t="inlineStr">
        <is>
          <t>電話の条件から外す</t>
        </is>
      </c>
    </row>
    <row r="6" ht="46" customHeight="1">
      <c r="A6" s="8" t="inlineStr">
        <is>
          <t>1本のJVM</t>
        </is>
      </c>
      <c r="B6" s="9" t="inlineStr">
        <is>
          <t>上位は125.5%から。5本が100%を超える</t>
        </is>
      </c>
      <c r="C6" s="9" t="inlineStr">
        <is>
          <t>1コア＝100%の物差し。本体にGCやJITが重なった</t>
        </is>
      </c>
      <c r="D6" s="9" t="inlineStr">
        <is>
          <t>異常値として数えない</t>
        </is>
      </c>
    </row>
    <row r="7" ht="46" customHeight="1">
      <c r="A7" s="18" t="inlineStr">
        <is>
          <t>ロード</t>
        </is>
      </c>
      <c r="B7" s="11" t="inlineStr">
        <is>
          <t>17.59 / 5.03 / 1.99。1分だけコアの2.2倍</t>
        </is>
      </c>
      <c r="C7" s="11" t="inlineStr">
        <is>
          <t>始まったばかりの山。15分はコアの0.25倍</t>
        </is>
      </c>
      <c r="D7" s="11" t="inlineStr">
        <is>
          <t>容量不足の障害にしない</t>
        </is>
      </c>
    </row>
    <row r="8" ht="46" customHeight="1">
      <c r="A8" s="8" t="inlineStr">
        <is>
          <t>メモリ</t>
        </is>
      </c>
      <c r="B8" s="9" t="inlineStr">
        <is>
          <t>availableは約64%。スワップ使用は0.2 MiB</t>
        </is>
      </c>
      <c r="C8" s="9" t="inlineStr">
        <is>
          <t>机は足りている。ディスクへ逃がしていない</t>
        </is>
      </c>
      <c r="D8" s="9" t="inlineStr">
        <is>
          <t>ファミリー変更は不要</t>
        </is>
      </c>
    </row>
    <row r="9" ht="36" customHeight="1">
      <c r="A9" s="18" t="inlineStr">
        <is>
          <t>ディスクと取り上げ</t>
        </is>
      </c>
      <c r="B9" s="11" t="inlineStr">
        <is>
          <t>wa 0%、st 0%</t>
        </is>
      </c>
      <c r="C9" s="11" t="inlineStr">
        <is>
          <t>この瞬間の律速は計算。貸与も満額</t>
        </is>
      </c>
      <c r="D9" s="11" t="inlineStr">
        <is>
          <t>EBS増強の証拠ではない</t>
        </is>
      </c>
    </row>
    <row r="10" ht="46" customHeight="1">
      <c r="A10" s="8" t="inlineStr">
        <is>
          <t>ITの本数</t>
        </is>
      </c>
      <c r="B10" s="9" t="inlineStr">
        <is>
          <t>10 JVM、8コア、JP1マルチ10</t>
        </is>
      </c>
      <c r="C10" s="9" t="inlineStr">
        <is>
          <t>コア比1.25。軽い超過で、機械は壊れない</t>
        </is>
      </c>
      <c r="D10" s="9" t="inlineStr">
        <is>
          <t>継続運用の基準はマルチ8</t>
        </is>
      </c>
    </row>
    <row r="11" ht="46" customHeight="1">
      <c r="A11" s="18" t="inlineStr">
        <is>
          <t>8にすると</t>
        </is>
      </c>
      <c r="B11" s="11" t="inlineStr">
        <is>
          <t>仕事10本なら終了指数は1.25から2.00へ伸びる</t>
        </is>
      </c>
      <c r="C11" s="11" t="inlineStr">
        <is>
          <t>警報は止まらない。8本でも最初の波は100%近く</t>
        </is>
      </c>
      <c r="D11" s="11" t="inlineStr">
        <is>
          <t>警報は閾値の側で止める</t>
        </is>
      </c>
    </row>
    <row r="12" ht="36" customHeight="1">
      <c r="A12" s="8" t="inlineStr">
        <is>
          <t>本番</t>
        </is>
      </c>
      <c r="B12" s="9" t="inlineStr">
        <is>
          <t>母数58、32コア、マルチ32なら同時は32</t>
        </is>
      </c>
      <c r="C12" s="9" t="inlineStr">
        <is>
          <t>コア比1.00。最初の波は再び100%近く</t>
        </is>
      </c>
      <c r="D12" s="9" t="inlineStr">
        <is>
          <t>58同時にはしない</t>
        </is>
      </c>
    </row>
    <row r="13" ht="36" customHeight="1">
      <c r="A13" s="18" t="inlineStr">
        <is>
          <t>GC</t>
        </is>
      </c>
      <c r="B13" s="11" t="inlineStr">
        <is>
          <t>各JVMは見えるコア全部から人数を決める</t>
        </is>
      </c>
      <c r="C13" s="11" t="inlineStr">
        <is>
          <t>ITは1JVMあたり最大8、本番32コアは23</t>
        </is>
      </c>
      <c r="D13" s="11" t="inlineStr">
        <is>
          <t>見えるコアを1と宣言する</t>
        </is>
      </c>
    </row>
    <row r="14" ht="46" customHeight="1">
      <c r="A14" s="8" t="inlineStr">
        <is>
          <t>帯域</t>
        </is>
      </c>
      <c r="B14" s="9" t="inlineStr">
        <is>
          <t>基準 3.125 Gbps、EBS基準 312.5 MB/s</t>
        </is>
      </c>
      <c r="C14" s="9" t="inlineStr">
        <is>
          <t>今回の原因ではない。長いダンプの次の天井</t>
        </is>
      </c>
      <c r="D14" s="9" t="inlineStr">
        <is>
          <t>張り付いてからサイズを見る</t>
        </is>
      </c>
    </row>
    <row r="16" ht="22" customHeight="1">
      <c r="A16" s="10" t="inlineStr">
        <is>
          <t>一文</t>
        </is>
      </c>
      <c r="B16" s="55" t="n"/>
      <c r="C16" s="55" t="n"/>
      <c r="D16" s="56" t="n"/>
    </row>
    <row r="17" ht="82" customHeight="1">
      <c r="A17" s="3" t="inlineStr">
        <is>
          <t>今回のクリティカルは、想定した一時的高負荷です。c7a.2xlarge の8個の物理コアに、JP1マルチ10でJVMを10本載せた結果です。先にやることは、短時間のCPU 90%をクリティカルから外すこと、継続運用のマルチを8に揃えること、各JVMに見えるコアを1つに宣言して実測することです。増強は、そのあとも処理時間が窓を超えるとき、またはEBSやネットワークの基準帯域に張り付くときです。</t>
        </is>
      </c>
      <c r="B17" s="55" t="n"/>
      <c r="C17" s="55" t="n"/>
      <c r="D17" s="56" t="n"/>
    </row>
  </sheetData>
  <mergeCells count="4">
    <mergeCell ref="A1:D1"/>
    <mergeCell ref="A16:D16"/>
    <mergeCell ref="A2:D2"/>
    <mergeCell ref="A17:D17"/>
  </mergeCells>
  <printOptions horizontalCentered="1"/>
  <pageMargins left="0.45" right="0.45" top="0.7" bottom="0.55" header="0.28" footer="0.28"/>
  <pageSetup orientation="landscape" paperSize="9" scale="100" fitToHeight="1" fitToWidth="1"/>
  <headerFooter>
    <oddHeader>&amp;L&amp;"Meiryo UI"&amp;9 契約管理バッチ  テーブルダンプのCPU&amp;C&amp;"Meiryo UI"&amp;9 &amp;R結論</oddHeader>
    <oddFooter>&amp;L&amp;"Meiryo UI"&amp;8 2026-10-11  インフラ所見  アラームの現行パーセントは未確認&amp;R&amp;"Meiryo UI"&amp;8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4A4A4A"/>
    <outlinePr summaryBelow="1" summaryRight="1"/>
    <pageSetUpPr fitToPage="1"/>
  </sheetPr>
  <dimension ref="A1:E22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28" customWidth="1" min="1" max="1"/>
    <col width="20" customWidth="1" min="2" max="2"/>
    <col width="16" customWidth="1" min="3" max="3"/>
    <col width="22" customWidth="1" min="4" max="4"/>
    <col width="62" customWidth="1" min="5" max="5"/>
  </cols>
  <sheetData>
    <row r="1" ht="32" customHeight="1">
      <c r="A1" s="1" t="inlineStr">
        <is>
          <t>計測の1枚を、上から読む</t>
        </is>
      </c>
      <c r="B1" s="55" t="n"/>
      <c r="C1" s="55" t="n"/>
      <c r="D1" s="55" t="n"/>
      <c r="E1" s="56" t="n"/>
    </row>
    <row r="2" ht="38" customHeight="1">
      <c r="A2" s="19" t="inlineStr">
        <is>
          <t>数字は「計算」シートの計測値を参照しています。そこを直すと、この表も変わります。判断に使うのは、パーセントそのものより、どの物差しで、どのくらいの時間か、です。</t>
        </is>
      </c>
      <c r="B2" s="55" t="n"/>
      <c r="C2" s="55" t="n"/>
      <c r="D2" s="55" t="n"/>
      <c r="E2" s="56" t="n"/>
    </row>
    <row r="4" ht="42" customHeight="1">
      <c r="A4" s="17" t="inlineStr">
        <is>
          <t>見ること</t>
        </is>
      </c>
      <c r="B4" s="17" t="inlineStr">
        <is>
          <t>値</t>
        </is>
      </c>
      <c r="C4" s="17" t="inlineStr">
        <is>
          <t>コアとの比</t>
        </is>
      </c>
      <c r="D4" s="17" t="inlineStr">
        <is>
          <t>棒（1.0が満席で■4個）</t>
        </is>
      </c>
      <c r="E4" s="17" t="inlineStr">
        <is>
          <t>読み</t>
        </is>
      </c>
    </row>
    <row r="5" ht="24" customHeight="1">
      <c r="A5" s="20" t="inlineStr">
        <is>
          <t>ロード 1分</t>
        </is>
      </c>
      <c r="B5" s="21">
        <f>LOAD1</f>
        <v/>
      </c>
      <c r="C5" s="21">
        <f>LOAD1_PER</f>
        <v/>
      </c>
      <c r="D5" s="22">
        <f>REPT("■",ROUND(LOAD1_PER*4,0))</f>
        <v/>
      </c>
      <c r="E5" s="23" t="inlineStr">
        <is>
          <t>席の約2.2倍。約9.6人が順番待ち</t>
        </is>
      </c>
    </row>
    <row r="6" ht="24" customHeight="1">
      <c r="A6" s="15" t="inlineStr">
        <is>
          <t>ロード 5分</t>
        </is>
      </c>
      <c r="B6" s="24">
        <f>LOAD5</f>
        <v/>
      </c>
      <c r="C6" s="24">
        <f>LOAD5_PER</f>
        <v/>
      </c>
      <c r="D6" s="25">
        <f>REPT("■",ROUND(LOAD5_PER*4,0))</f>
        <v/>
      </c>
      <c r="E6" s="16" t="inlineStr">
        <is>
          <t>5分で均すと満席より下</t>
        </is>
      </c>
    </row>
    <row r="7" ht="24" customHeight="1">
      <c r="A7" s="20" t="inlineStr">
        <is>
          <t>ロード 15分</t>
        </is>
      </c>
      <c r="B7" s="21">
        <f>LOAD15</f>
        <v/>
      </c>
      <c r="C7" s="21">
        <f>LOAD15_PER</f>
        <v/>
      </c>
      <c r="D7" s="22">
        <f>REPT("■",ROUND(LOAD15_PER*4,0))</f>
        <v/>
      </c>
      <c r="E7" s="23" t="inlineStr">
        <is>
          <t>直近15分のほとんどは空いていた</t>
        </is>
      </c>
    </row>
    <row r="8" ht="24" customHeight="1">
      <c r="A8" s="15" t="inlineStr">
        <is>
          <t>us 計算</t>
        </is>
      </c>
      <c r="B8" s="26">
        <f>US</f>
        <v/>
      </c>
      <c r="C8" s="24" t="inlineStr">
        <is>
          <t>—</t>
        </is>
      </c>
      <c r="D8" s="25" t="inlineStr">
        <is>
          <t>—</t>
        </is>
      </c>
      <c r="E8" s="16" t="inlineStr">
        <is>
          <t>アプリがコアを使っている。律速はここ</t>
        </is>
      </c>
    </row>
    <row r="9" ht="24" customHeight="1">
      <c r="A9" s="20" t="inlineStr">
        <is>
          <t>sy OS</t>
        </is>
      </c>
      <c r="B9" s="27">
        <f>SY</f>
        <v/>
      </c>
      <c r="C9" s="21" t="inlineStr">
        <is>
          <t>—</t>
        </is>
      </c>
      <c r="D9" s="22" t="inlineStr">
        <is>
          <t>—</t>
        </is>
      </c>
      <c r="E9" s="23" t="inlineStr">
        <is>
          <t>3%台。プロセス843個に押しつぶされていない</t>
        </is>
      </c>
    </row>
    <row r="10" ht="24" customHeight="1">
      <c r="A10" s="15" t="inlineStr">
        <is>
          <t>wa ディスク待ち</t>
        </is>
      </c>
      <c r="B10" s="26">
        <f>WA</f>
        <v/>
      </c>
      <c r="C10" s="24" t="inlineStr">
        <is>
          <t>—</t>
        </is>
      </c>
      <c r="D10" s="25" t="inlineStr">
        <is>
          <t>—</t>
        </is>
      </c>
      <c r="E10" s="16" t="inlineStr">
        <is>
          <t>この瞬間は0。終盤まで0とは断定しない</t>
        </is>
      </c>
    </row>
    <row r="11" ht="24" customHeight="1">
      <c r="A11" s="20" t="inlineStr">
        <is>
          <t>st 取り上げ</t>
        </is>
      </c>
      <c r="B11" s="27">
        <f>ST</f>
        <v/>
      </c>
      <c r="C11" s="21" t="inlineStr">
        <is>
          <t>—</t>
        </is>
      </c>
      <c r="D11" s="22" t="inlineStr">
        <is>
          <t>—</t>
        </is>
      </c>
      <c r="E11" s="23" t="inlineStr">
        <is>
          <t>0。クレジット切れでも、隣の店に取られてもいない</t>
        </is>
      </c>
    </row>
    <row r="12" ht="24" customHeight="1">
      <c r="A12" s="15" t="inlineStr">
        <is>
          <t>内訳の合計</t>
        </is>
      </c>
      <c r="B12" s="26">
        <f>CPU_SUM</f>
        <v/>
      </c>
      <c r="C12" s="24" t="inlineStr">
        <is>
          <t>—</t>
        </is>
      </c>
      <c r="D12" s="25" t="inlineStr">
        <is>
          <t>—</t>
        </is>
      </c>
      <c r="E12" s="16" t="inlineStr">
        <is>
          <t>約99.9。全体の物差しでは100を超えていない</t>
        </is>
      </c>
    </row>
    <row r="13" ht="24" customHeight="1">
      <c r="A13" s="20" t="inlineStr">
        <is>
          <t>空き</t>
        </is>
      </c>
      <c r="B13" s="27">
        <f>IDLE</f>
        <v/>
      </c>
      <c r="C13" s="21" t="inlineStr">
        <is>
          <t>—</t>
        </is>
      </c>
      <c r="D13" s="22" t="inlineStr">
        <is>
          <t>—</t>
        </is>
      </c>
      <c r="E13" s="23" t="inlineStr">
        <is>
          <t>貼り文にidが無いので、100から内訳を引いた残り</t>
        </is>
      </c>
    </row>
    <row r="14" ht="24" customHeight="1">
      <c r="A14" s="15" t="inlineStr">
        <is>
          <t>上位7本の合計</t>
        </is>
      </c>
      <c r="B14" s="26">
        <f>PROC_SUM</f>
        <v/>
      </c>
      <c r="C14" s="57">
        <f>PROC_OF</f>
        <v/>
      </c>
      <c r="D14" s="25" t="inlineStr">
        <is>
          <t>—</t>
        </is>
      </c>
      <c r="E14" s="16" t="inlineStr">
        <is>
          <t>1コア＝100%の足し算。満点800%の9割強</t>
        </is>
      </c>
    </row>
    <row r="15" ht="24" customHeight="1">
      <c r="A15" s="20" t="inlineStr">
        <is>
          <t>100%超の本数</t>
        </is>
      </c>
      <c r="B15" s="29">
        <f>PROC_OVER</f>
        <v/>
      </c>
      <c r="C15" s="21" t="inlineStr">
        <is>
          <t>—</t>
        </is>
      </c>
      <c r="D15" s="22" t="inlineStr">
        <is>
          <t>—</t>
        </is>
      </c>
      <c r="E15" s="23" t="inlineStr">
        <is>
          <t>上位7本のうち5本。1本の中の複数スレッド</t>
        </is>
      </c>
    </row>
    <row r="16" ht="24" customHeight="1">
      <c r="A16" s="15" t="inlineStr">
        <is>
          <t>available</t>
        </is>
      </c>
      <c r="B16" s="58">
        <f>MEM_AVAIL</f>
        <v/>
      </c>
      <c r="C16" s="57">
        <f>AVAIL_RATIO</f>
        <v/>
      </c>
      <c r="D16" s="25" t="inlineStr">
        <is>
          <t>—</t>
        </is>
      </c>
      <c r="E16" s="16" t="inlineStr">
        <is>
          <t>MiBとその割合。64%前後なら足りている</t>
        </is>
      </c>
    </row>
    <row r="17" ht="24" customHeight="1">
      <c r="A17" s="20" t="inlineStr">
        <is>
          <t>スワップ使用</t>
        </is>
      </c>
      <c r="B17" s="27">
        <f>SWAP_USED</f>
        <v/>
      </c>
      <c r="C17" s="21" t="inlineStr">
        <is>
          <t>—</t>
        </is>
      </c>
      <c r="D17" s="22" t="inlineStr">
        <is>
          <t>—</t>
        </is>
      </c>
      <c r="E17" s="23" t="inlineStr">
        <is>
          <t>MiB。ほぼゼロ</t>
        </is>
      </c>
    </row>
    <row r="18" ht="24" customHeight="1">
      <c r="A18" s="15" t="inlineStr">
        <is>
          <t>ITの同時JVM</t>
        </is>
      </c>
      <c r="B18" s="24">
        <f>IT_CONC</f>
        <v/>
      </c>
      <c r="C18" s="24">
        <f>IT_RATIO</f>
        <v/>
      </c>
      <c r="D18" s="25">
        <f>REPT("■",ROUND(IT_RATIO*4,0))</f>
        <v/>
      </c>
      <c r="E18" s="16" t="inlineStr">
        <is>
          <t>本数と、コア比。1を超えると分け合い</t>
        </is>
      </c>
    </row>
    <row r="19" ht="24" customHeight="1">
      <c r="A19" s="20" t="inlineStr">
        <is>
          <t>本番の同時JVM</t>
        </is>
      </c>
      <c r="B19" s="21">
        <f>PROD_CONC</f>
        <v/>
      </c>
      <c r="C19" s="21">
        <f>PROD_RATIO</f>
        <v/>
      </c>
      <c r="D19" s="22">
        <f>REPT("■",ROUND(PROD_RATIO*4,0))</f>
        <v/>
      </c>
      <c r="E19" s="23" t="inlineStr">
        <is>
          <t>マルチ32、1ジョブ1JVMならコア比1</t>
        </is>
      </c>
    </row>
    <row r="21" ht="64" customHeight="1">
      <c r="A21" s="3" t="inlineStr">
        <is>
          <t>タスクは843、その瞬間に走っていたプロセスは1、休眠841、停止1、ゾンビ0です。ロードが17なのに running が1なのは、topが小屋（プロセス）を数え、ロードが小屋の中の作業員（スレッド）を数えるからです。843という人数自体は、今回の満杯の原因ではありません。</t>
        </is>
      </c>
      <c r="B21" s="55" t="n"/>
      <c r="C21" s="55" t="n"/>
      <c r="D21" s="55" t="n"/>
      <c r="E21" s="56" t="n"/>
    </row>
    <row r="22" ht="64" customHeight="1">
      <c r="A22" s="11" t="inlineStr">
        <is>
          <t>1分・5分・15分の比は、無負荷に近かった機械がおよそ1分前に負荷へ入った形に近いです。これは指数平均を戻した推定で、計測器が表示した経過時間ではありません。山の瞬間に走ろうとしていたスレッドは20本台後半、という幅で読んでください。10本のJVMが本体に加えて手伝いを少し呼んでいる絵と合います。GCの名札80人が同時に走った絵には、17.59は届いていません。</t>
        </is>
      </c>
      <c r="B22" s="55" t="n"/>
      <c r="C22" s="55" t="n"/>
      <c r="D22" s="55" t="n"/>
      <c r="E22" s="56" t="n"/>
    </row>
  </sheetData>
  <mergeCells count="4">
    <mergeCell ref="A2:E2"/>
    <mergeCell ref="A22:E22"/>
    <mergeCell ref="A1:E1"/>
    <mergeCell ref="A21:E21"/>
  </mergeCells>
  <printOptions horizontalCentered="1"/>
  <pageMargins left="0.45" right="0.45" top="0.7" bottom="0.55" header="0.28" footer="0.28"/>
  <pageSetup orientation="landscape" paperSize="9" scale="100" fitToHeight="1" fitToWidth="1"/>
  <headerFooter>
    <oddHeader>&amp;L&amp;"Meiryo UI"&amp;9 契約管理バッチ  テーブルダンプのCPU&amp;C&amp;"Meiryo UI"&amp;9 &amp;R計測</oddHeader>
    <oddFooter>&amp;L&amp;"Meiryo UI"&amp;8 2026-10-11  インフラ所見  アラームの現行パーセントは未確認&amp;R&amp;"Meiryo UI"&amp;8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5C5C5C"/>
    <outlinePr summaryBelow="1" summaryRight="1"/>
    <pageSetUpPr fitToPage="1"/>
  </sheetPr>
  <dimension ref="A1:B10"/>
  <sheetViews>
    <sheetView showGridLines="0" view="normal" zoomScale="110" workbookViewId="0">
      <pane ySplit="3" topLeftCell="A4" activePane="bottomLeft" state="frozen"/>
      <selection pane="bottomLeft" activeCell="A1" sqref="A1"/>
    </sheetView>
  </sheetViews>
  <sheetFormatPr baseColWidth="8" defaultRowHeight="18"/>
  <cols>
    <col width="28" customWidth="1" min="1" max="1"/>
    <col width="110" customWidth="1" min="2" max="2"/>
  </cols>
  <sheetData>
    <row r="1" ht="32" customHeight="1">
      <c r="A1" s="1" t="inlineStr">
        <is>
          <t>8台の本物のレジに、10人入れた店</t>
        </is>
      </c>
      <c r="B1" s="56" t="n"/>
    </row>
    <row r="3" ht="22" customHeight="1">
      <c r="A3" s="17" t="inlineStr">
        <is>
          <t>場面</t>
        </is>
      </c>
      <c r="B3" s="17" t="inlineStr">
        <is>
          <t>絵</t>
        </is>
      </c>
    </row>
    <row r="4" ht="82" customHeight="1">
      <c r="A4" s="18" t="inlineStr">
        <is>
          <t>店</t>
        </is>
      </c>
      <c r="B4" s="11" t="inlineStr">
        <is>
          <t>レジが8台あります。この店のレジは、1台を2人で共有するタイプではありません。c7a.2xlarge の8 vCPUは、8個の本物のコアです。会計係がJVMです。1人の係は、原則として1台で自分のカゴを計算します。JP1のマルチは、同時に何人まで店へ入れるかの札です。ITの札は10です。</t>
        </is>
      </c>
    </row>
    <row r="5" ht="64" customHeight="1">
      <c r="A5" s="8" t="inlineStr">
        <is>
          <t>10人</t>
        </is>
      </c>
      <c r="B5" s="9" t="inlineStr">
        <is>
          <t>台は8台です。10人で分け合うので、1人あたりの進みは8割です。専用なら10分の仕事が12.5分になります。このあいだ8台は全部ふさがります。全体のCPUは100%近く、行列は8人を超えます。店は壊れていません。札が台より2人多かっただけです。</t>
        </is>
      </c>
    </row>
    <row r="6" ht="64" customHeight="1">
      <c r="A6" s="18" t="inlineStr">
        <is>
          <t>8人</t>
        </is>
      </c>
      <c r="B6" s="11" t="inlineStr">
        <is>
          <t>最初の8人は10分で終わります。残りの2人は、空いた2台でまた10分です。残り6台は遊びます。合計は20分で、10人同時より遅くなります。最初の10分は8台が全部ふさがるので、全体CPUはやはり100%近くです。8にすれば90%の警報が止まる、にはなりません。</t>
        </is>
      </c>
    </row>
    <row r="7" ht="64" customHeight="1">
      <c r="A7" s="8" t="inlineStr">
        <is>
          <t>列が続く</t>
        </is>
      </c>
      <c r="B7" s="9" t="inlineStr">
        <is>
          <t>札を10にしても、会計の速さは8台分のままです。お客が何十人もいるなら、8人ずつ入れる方がぶつかりが無く、ちょうどよいです。ITのダンプが「10本前後を1回流す」のか「表が何十本も続く」のかで、札を10のままにするかが変わります。</t>
        </is>
      </c>
    </row>
    <row r="8" ht="64" customHeight="1">
      <c r="A8" s="18" t="inlineStr">
        <is>
          <t>1台空ける</t>
        </is>
      </c>
      <c r="B8" s="11" t="inlineStr">
        <is>
          <t>7人にして1台を空けると、ダンプ中の全体CPUは7/8で約88%です。閾値が90%なら警報は鳴りにくくなります。それは処理を遅くして警報を避けています。今回のOSの手伝いは3.1%で、台を1台専有するほどの混み方ではありません。直す場所は札ではなく警報です。</t>
        </is>
      </c>
    </row>
    <row r="9" ht="64" customHeight="1">
      <c r="A9" s="8" t="inlineStr">
        <is>
          <t>125%</t>
        </is>
      </c>
      <c r="B9" s="9" t="inlineStr">
        <is>
          <t>係がときどき、紙を片づける手伝いを呼びます。手伝いも台が欲しいです。画面の125%は、その係と手伝いが合わせて1台より少し多く台を使った、という記録です。店全体の台は8台までしかないので、全体が100%を超えることはありません。</t>
        </is>
      </c>
    </row>
    <row r="10" ht="64" customHeight="1">
      <c r="A10" s="18" t="inlineStr">
        <is>
          <t>本番</t>
        </is>
      </c>
      <c r="B10" s="11" t="inlineStr">
        <is>
          <t>本番の問いを同じ店で言うと、お客が58人、台が32台、札が32、です。最初の32人は台が満杯です。残りの26人は次の回で、6台が遊びます。58人を一度に入れると、台の約1.8倍です。基本の札は32です。</t>
        </is>
      </c>
    </row>
  </sheetData>
  <mergeCells count="1">
    <mergeCell ref="A1:B1"/>
  </mergeCells>
  <printOptions horizontalCentered="1"/>
  <pageMargins left="0.45" right="0.45" top="0.7" bottom="0.55" header="0.28" footer="0.28"/>
  <pageSetup orientation="landscape" paperSize="9" scale="100" fitToHeight="1" fitToWidth="1"/>
  <headerFooter>
    <oddHeader>&amp;L&amp;"Meiryo UI"&amp;9 契約管理バッチ  テーブルダンプのCPU&amp;C&amp;"Meiryo UI"&amp;9 &amp;Rたとえ</oddHeader>
    <oddFooter>&amp;L&amp;"Meiryo UI"&amp;8 2026-10-11  インフラ所見  アラームの現行パーセントは未確認&amp;R&amp;"Meiryo UI"&amp;8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6E6E6E"/>
    <outlinePr summaryBelow="1" summaryRight="1"/>
    <pageSetUpPr fitToPage="1"/>
  </sheetPr>
  <dimension ref="A1:D18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24" customWidth="1" min="1" max="1"/>
    <col width="28" customWidth="1" min="2" max="2"/>
    <col width="36" customWidth="1" min="3" max="3"/>
    <col width="52" customWidth="1" min="4" max="4"/>
  </cols>
  <sheetData>
    <row r="1" ht="32" customHeight="1">
      <c r="A1" s="1" t="inlineStr">
        <is>
          <t>100%には、3つの物差しがある</t>
        </is>
      </c>
      <c r="B1" s="55" t="n"/>
      <c r="C1" s="55" t="n"/>
      <c r="D1" s="56" t="n"/>
    </row>
    <row r="2" ht="46" customHeight="1">
      <c r="A2" s="3" t="inlineStr">
        <is>
          <t>同じ瞬間でも、道具が違えば「100%を超えた」の意味が違います。監視の閾値が90%なのに、道具の満点が800%だと、警報の意味が壊れます。画面に単位が書いてあるかを先に確認します。</t>
        </is>
      </c>
      <c r="B2" s="55" t="n"/>
      <c r="C2" s="55" t="n"/>
      <c r="D2" s="56" t="n"/>
    </row>
    <row r="4" ht="22" customHeight="1">
      <c r="A4" s="17" t="inlineStr">
        <is>
          <t>物差し</t>
        </is>
      </c>
      <c r="B4" s="17" t="inlineStr">
        <is>
          <t>100%の意味</t>
        </is>
      </c>
      <c r="C4" s="17" t="inlineStr">
        <is>
          <t>今回の値</t>
        </is>
      </c>
      <c r="D4" s="17" t="inlineStr">
        <is>
          <t>読み</t>
        </is>
      </c>
    </row>
    <row r="5" ht="48" customHeight="1">
      <c r="A5" s="18" t="inlineStr">
        <is>
          <t>A マシン全体</t>
        </is>
      </c>
      <c r="B5" s="11" t="inlineStr">
        <is>
          <t>8台全部が埋まって100%。上限は100%</t>
        </is>
      </c>
      <c r="C5" s="11" t="inlineStr">
        <is>
          <t>内訳の合計は約99.9%。usが95.9%</t>
        </is>
      </c>
      <c r="D5" s="11" t="inlineStr">
        <is>
          <t>CloudWatchのCPUUtilizationもこれ。100は超えない</t>
        </is>
      </c>
    </row>
    <row r="6" ht="48" customHeight="1">
      <c r="A6" s="8" t="inlineStr">
        <is>
          <t>B プロセス1本</t>
        </is>
      </c>
      <c r="B6" s="9" t="inlineStr">
        <is>
          <t>1コアを使い切ると100%。8コアなら上限は約800%</t>
        </is>
      </c>
      <c r="C6" s="9" t="inlineStr">
        <is>
          <t>125.5、122.4、115.1、108.6、101.0、88.5、76.6</t>
        </is>
      </c>
      <c r="D6" s="9" t="inlineStr">
        <is>
          <t>5本が100%超。本体にGCやJITが重なった</t>
        </is>
      </c>
    </row>
    <row r="7" ht="48" customHeight="1">
      <c r="A7" s="18" t="inlineStr">
        <is>
          <t>C コアの足し算</t>
        </is>
      </c>
      <c r="B7" s="11" t="inlineStr">
        <is>
          <t>1コア＝100%として足す。満点は800%</t>
        </is>
      </c>
      <c r="C7" s="11" t="inlineStr">
        <is>
          <t>上位7本の合計は737.7%。満点の92%</t>
        </is>
      </c>
      <c r="D7" s="11" t="inlineStr">
        <is>
          <t>この物差しの100%超えは、全体の12.5%で起きる</t>
        </is>
      </c>
    </row>
    <row r="9" ht="22" customHeight="1">
      <c r="A9" s="10" t="inlineStr">
        <is>
          <t>内訳の言葉</t>
        </is>
      </c>
      <c r="B9" s="55" t="n"/>
      <c r="C9" s="55" t="n"/>
      <c r="D9" s="56" t="n"/>
    </row>
    <row r="10" ht="20" customHeight="1">
      <c r="A10" s="17" t="inlineStr">
        <is>
          <t>項目</t>
        </is>
      </c>
      <c r="B10" s="17" t="inlineStr">
        <is>
          <t>値</t>
        </is>
      </c>
      <c r="C10" s="17" t="inlineStr">
        <is>
          <t>意味</t>
        </is>
      </c>
      <c r="D10" s="17" t="inlineStr"/>
    </row>
    <row r="11" ht="28" customHeight="1">
      <c r="A11" s="31" t="inlineStr">
        <is>
          <t>us</t>
        </is>
      </c>
      <c r="B11" s="32" t="inlineStr">
        <is>
          <t>95.9%</t>
        </is>
      </c>
      <c r="C11" s="33" t="inlineStr">
        <is>
          <t>アプリの計算。文字コード、整形、圧縮、オブジェクト、GC、JIT</t>
        </is>
      </c>
      <c r="D11" s="56" t="n"/>
    </row>
    <row r="12" ht="28" customHeight="1">
      <c r="A12" s="34" t="inlineStr">
        <is>
          <t>sy</t>
        </is>
      </c>
      <c r="B12" s="35" t="inlineStr">
        <is>
          <t>3.1%</t>
        </is>
      </c>
      <c r="C12" s="16" t="inlineStr">
        <is>
          <t>OSの手伝い。この大きさなら、プロセスの多さに押しつぶされていない</t>
        </is>
      </c>
      <c r="D12" s="56" t="n"/>
    </row>
    <row r="13" ht="28" customHeight="1">
      <c r="A13" s="31" t="inlineStr">
        <is>
          <t>ni</t>
        </is>
      </c>
      <c r="B13" s="32" t="inlineStr">
        <is>
          <t>0%</t>
        </is>
      </c>
      <c r="C13" s="33" t="inlineStr">
        <is>
          <t>優先度を下げた計算</t>
        </is>
      </c>
      <c r="D13" s="56" t="n"/>
    </row>
    <row r="14" ht="46" customHeight="1">
      <c r="A14" s="34" t="inlineStr">
        <is>
          <t>wa</t>
        </is>
      </c>
      <c r="B14" s="35" t="inlineStr">
        <is>
          <t>0%</t>
        </is>
      </c>
      <c r="C14" s="16" t="inlineStr">
        <is>
          <t>ディスク待ち。この瞬間の律速ではない。終盤にキャッシュがあふれると出ることがある</t>
        </is>
      </c>
      <c r="D14" s="56" t="n"/>
    </row>
    <row r="15" ht="28" customHeight="1">
      <c r="A15" s="31" t="inlineStr">
        <is>
          <t>hi</t>
        </is>
      </c>
      <c r="B15" s="32" t="inlineStr">
        <is>
          <t>0.8%</t>
        </is>
      </c>
      <c r="C15" s="33" t="inlineStr">
        <is>
          <t>ハードウェア割り込み。貼り文の h1 はこれ</t>
        </is>
      </c>
      <c r="D15" s="56" t="n"/>
    </row>
    <row r="16" ht="28" customHeight="1">
      <c r="A16" s="34" t="inlineStr">
        <is>
          <t>si</t>
        </is>
      </c>
      <c r="B16" s="35" t="inlineStr">
        <is>
          <t>0.1%</t>
        </is>
      </c>
      <c r="C16" s="16" t="inlineStr">
        <is>
          <t>ソフトウェア割り込み</t>
        </is>
      </c>
      <c r="D16" s="56" t="n"/>
    </row>
    <row r="17" ht="28" customHeight="1">
      <c r="A17" s="31" t="inlineStr">
        <is>
          <t>st</t>
        </is>
      </c>
      <c r="B17" s="32" t="inlineStr">
        <is>
          <t>0%</t>
        </is>
      </c>
      <c r="C17" s="33" t="inlineStr">
        <is>
          <t>ハイパーバイザがCPUを他へ回した時間。今回は満額渡している</t>
        </is>
      </c>
      <c r="D17" s="56" t="n"/>
    </row>
    <row r="18" ht="28" customHeight="1">
      <c r="A18" s="34" t="inlineStr">
        <is>
          <t>id</t>
        </is>
      </c>
      <c r="B18" s="35" t="inlineStr">
        <is>
          <t>約0.1%</t>
        </is>
      </c>
      <c r="C18" s="16" t="inlineStr">
        <is>
          <t>貼り文にラベルが無かったので、100から内訳を引いた残り</t>
        </is>
      </c>
      <c r="D18" s="56" t="n"/>
    </row>
  </sheetData>
  <mergeCells count="11">
    <mergeCell ref="A1:D1"/>
    <mergeCell ref="C12:D12"/>
    <mergeCell ref="A9:D9"/>
    <mergeCell ref="C16:D16"/>
    <mergeCell ref="C15:D15"/>
    <mergeCell ref="C11:D11"/>
    <mergeCell ref="C14:D14"/>
    <mergeCell ref="C13:D13"/>
    <mergeCell ref="A2:D2"/>
    <mergeCell ref="C18:D18"/>
    <mergeCell ref="C17:D17"/>
  </mergeCells>
  <printOptions horizontalCentered="1"/>
  <pageMargins left="0.45" right="0.45" top="0.7" bottom="0.55" header="0.28" footer="0.28"/>
  <pageSetup orientation="landscape" paperSize="9" scale="100" fitToHeight="1" fitToWidth="1"/>
  <headerFooter>
    <oddHeader>&amp;L&amp;"Meiryo UI"&amp;9 契約管理バッチ  テーブルダンプのCPU&amp;C&amp;"Meiryo UI"&amp;9 &amp;R物差し</oddHeader>
    <oddFooter>&amp;L&amp;"Meiryo UI"&amp;8 2026-10-11  インフラ所見  アラームの現行パーセントは未確認&amp;R&amp;"Meiryo UI"&amp;8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333333"/>
    <outlinePr summaryBelow="1" summaryRight="1"/>
    <pageSetUpPr fitToPage="1"/>
  </sheetPr>
  <dimension ref="A1:L71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16" customWidth="1" min="1" max="1"/>
    <col width="42" customWidth="1" min="2" max="2"/>
    <col width="16" customWidth="1" min="3" max="3"/>
    <col width="22" customWidth="1" min="4" max="4"/>
    <col width="62" customWidth="1" min="5" max="5"/>
    <col width="14" customWidth="1" min="6" max="6"/>
    <col width="12" customWidth="1" min="7" max="7"/>
    <col width="12" customWidth="1" min="8" max="8"/>
    <col width="14" customWidth="1" min="9" max="9"/>
    <col width="42" customWidth="1" min="10" max="10"/>
    <col width="16" customWidth="1" min="11" max="11"/>
    <col width="18" customWidth="1" min="12" max="12"/>
  </cols>
  <sheetData>
    <row r="1" ht="32" customHeight="1">
      <c r="A1" s="1" t="inlineStr">
        <is>
          <t>計算シート　灰色の太枠だけを変えると、下の比率と終了指数が再計算される</t>
        </is>
      </c>
      <c r="B1" s="55" t="n"/>
      <c r="C1" s="55" t="n"/>
      <c r="D1" s="55" t="n"/>
      <c r="E1" s="55" t="n"/>
      <c r="F1" s="55" t="n"/>
      <c r="G1" s="55" t="n"/>
      <c r="H1" s="55" t="n"/>
      <c r="I1" s="55" t="n"/>
      <c r="J1" s="55" t="n"/>
      <c r="K1" s="55" t="n"/>
      <c r="L1" s="56" t="n"/>
    </row>
    <row r="2" ht="34" customHeight="1">
      <c r="A2" s="19" t="inlineStr">
        <is>
          <t>前提は、仕事の長さが同じ、1本のJVMは1コアまで、オーバーヘッドはゼロ、です。実際のマルチ超過は、この指数より遅くなり得ます。1ジョブがJVMを2本起動するなら「1ジョブのJVM」を2にしてください。</t>
        </is>
      </c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  <c r="L2" s="56" t="n"/>
    </row>
    <row r="4" ht="22" customHeight="1">
      <c r="A4" s="17" t="inlineStr">
        <is>
          <t>区分</t>
        </is>
      </c>
      <c r="B4" s="17" t="inlineStr">
        <is>
          <t>項目</t>
        </is>
      </c>
      <c r="C4" s="17" t="inlineStr">
        <is>
          <t>値</t>
        </is>
      </c>
      <c r="D4" s="17" t="inlineStr">
        <is>
          <t>単位</t>
        </is>
      </c>
      <c r="E4" s="17" t="inlineStr">
        <is>
          <t>意味</t>
        </is>
      </c>
    </row>
    <row r="5" ht="28" customHeight="1">
      <c r="A5" s="36" t="inlineStr">
        <is>
          <t>入力</t>
        </is>
      </c>
      <c r="B5" s="37" t="inlineStr">
        <is>
          <t>ITのvCPU（物理コア）</t>
        </is>
      </c>
      <c r="C5" s="38" t="n">
        <v>8</v>
      </c>
      <c r="D5" s="39" t="inlineStr">
        <is>
          <t>コア</t>
        </is>
      </c>
      <c r="E5" s="37" t="inlineStr">
        <is>
          <t>c7a.2xlarge は8。SMTは無く、8個とも本物のコア</t>
        </is>
      </c>
    </row>
    <row r="6" ht="28" customHeight="1">
      <c r="A6" s="36" t="inlineStr">
        <is>
          <t>入力</t>
        </is>
      </c>
      <c r="B6" s="37" t="inlineStr">
        <is>
          <t>ITの仕事の本数</t>
        </is>
      </c>
      <c r="C6" s="38" t="n">
        <v>10</v>
      </c>
      <c r="D6" s="39" t="inlineStr">
        <is>
          <t>本</t>
        </is>
      </c>
      <c r="E6" s="37" t="inlineStr">
        <is>
          <t>ダンプのジョブ数。JVMの母数として読む</t>
        </is>
      </c>
    </row>
    <row r="7" ht="28" customHeight="1">
      <c r="A7" s="36" t="inlineStr">
        <is>
          <t>入力</t>
        </is>
      </c>
      <c r="B7" s="37" t="inlineStr">
        <is>
          <t>ITのJP1マルチ</t>
        </is>
      </c>
      <c r="C7" s="38" t="n">
        <v>10</v>
      </c>
      <c r="D7" s="39" t="inlineStr">
        <is>
          <t>本</t>
        </is>
      </c>
      <c r="E7" s="37" t="inlineStr">
        <is>
          <t>同時に走らせるジョブ数。JP1が指定する</t>
        </is>
      </c>
    </row>
    <row r="8" ht="28" customHeight="1">
      <c r="A8" s="36" t="inlineStr">
        <is>
          <t>入力</t>
        </is>
      </c>
      <c r="B8" s="37" t="inlineStr">
        <is>
          <t>ITの1ジョブのJVM</t>
        </is>
      </c>
      <c r="C8" s="38" t="n">
        <v>1</v>
      </c>
      <c r="D8" s="39" t="inlineStr">
        <is>
          <t>本</t>
        </is>
      </c>
      <c r="E8" s="37" t="inlineStr">
        <is>
          <t>ジョブの中で起動するJVM。画面と合う既定は1</t>
        </is>
      </c>
    </row>
    <row r="9" ht="28" customHeight="1">
      <c r="A9" s="36" t="inlineStr">
        <is>
          <t>入力</t>
        </is>
      </c>
      <c r="B9" s="37" t="inlineStr">
        <is>
          <t>本番のvCPU</t>
        </is>
      </c>
      <c r="C9" s="38" t="n">
        <v>32</v>
      </c>
      <c r="D9" s="39" t="inlineStr">
        <is>
          <t>コア</t>
        </is>
      </c>
      <c r="E9" s="37" t="inlineStr">
        <is>
          <t>タイプ名は未提示。同じC7aなら物理コア32</t>
        </is>
      </c>
    </row>
    <row r="10" ht="28" customHeight="1">
      <c r="A10" s="36" t="inlineStr">
        <is>
          <t>入力</t>
        </is>
      </c>
      <c r="B10" s="37" t="inlineStr">
        <is>
          <t>本番の仕事の本数</t>
        </is>
      </c>
      <c r="C10" s="38" t="n">
        <v>58</v>
      </c>
      <c r="D10" s="39" t="inlineStr">
        <is>
          <t>本</t>
        </is>
      </c>
      <c r="E10" s="37" t="inlineStr">
        <is>
          <t>58は同時本数ではなく母数として入れてあります</t>
        </is>
      </c>
    </row>
    <row r="11" ht="28" customHeight="1">
      <c r="A11" s="36" t="inlineStr">
        <is>
          <t>入力</t>
        </is>
      </c>
      <c r="B11" s="37" t="inlineStr">
        <is>
          <t>本番のJP1マルチ</t>
        </is>
      </c>
      <c r="C11" s="38" t="n">
        <v>32</v>
      </c>
      <c r="D11" s="39" t="inlineStr">
        <is>
          <t>本</t>
        </is>
      </c>
      <c r="E11" s="37" t="inlineStr">
        <is>
          <t>問いの「32マルチ」</t>
        </is>
      </c>
    </row>
    <row r="12" ht="28" customHeight="1">
      <c r="A12" s="36" t="inlineStr">
        <is>
          <t>入力</t>
        </is>
      </c>
      <c r="B12" s="37" t="inlineStr">
        <is>
          <t>本番の1ジョブのJVM</t>
        </is>
      </c>
      <c r="C12" s="38" t="n">
        <v>1</v>
      </c>
      <c r="D12" s="39" t="inlineStr">
        <is>
          <t>本</t>
        </is>
      </c>
      <c r="E12" s="37" t="inlineStr">
        <is>
          <t>ITと同じ前提。違うならここを変える</t>
        </is>
      </c>
    </row>
    <row r="13" ht="8" customHeight="1"/>
    <row r="14" ht="28" customHeight="1">
      <c r="A14" s="35" t="inlineStr">
        <is>
          <t>計測</t>
        </is>
      </c>
      <c r="B14" s="16" t="inlineStr">
        <is>
          <t>ロード 1分</t>
        </is>
      </c>
      <c r="C14" s="24" t="n">
        <v>17.59</v>
      </c>
      <c r="D14" s="35" t="inlineStr">
        <is>
          <t>人</t>
        </is>
      </c>
      <c r="E14" s="16" t="inlineStr">
        <is>
          <t>計算したがっているスレッドの指数平均</t>
        </is>
      </c>
    </row>
    <row r="15" ht="28" customHeight="1">
      <c r="A15" s="35" t="inlineStr">
        <is>
          <t>計測</t>
        </is>
      </c>
      <c r="B15" s="16" t="inlineStr">
        <is>
          <t>ロード 5分</t>
        </is>
      </c>
      <c r="C15" s="24" t="n">
        <v>5.03</v>
      </c>
      <c r="D15" s="35" t="inlineStr">
        <is>
          <t>人</t>
        </is>
      </c>
      <c r="E15" s="16" t="inlineStr">
        <is>
          <t>5分の指数平均</t>
        </is>
      </c>
    </row>
    <row r="16" ht="28" customHeight="1">
      <c r="A16" s="35" t="inlineStr">
        <is>
          <t>計測</t>
        </is>
      </c>
      <c r="B16" s="16" t="inlineStr">
        <is>
          <t>ロード 15分</t>
        </is>
      </c>
      <c r="C16" s="24" t="n">
        <v>1.99</v>
      </c>
      <c r="D16" s="35" t="inlineStr">
        <is>
          <t>人</t>
        </is>
      </c>
      <c r="E16" s="16" t="inlineStr">
        <is>
          <t>15分の指数平均。長い不足ではない</t>
        </is>
      </c>
    </row>
    <row r="17" ht="28" customHeight="1">
      <c r="A17" s="35" t="inlineStr">
        <is>
          <t>計測</t>
        </is>
      </c>
      <c r="B17" s="16" t="inlineStr">
        <is>
          <t>us アプリの計算</t>
        </is>
      </c>
      <c r="C17" s="26" t="n">
        <v>95.90000000000001</v>
      </c>
      <c r="D17" s="35" t="inlineStr">
        <is>
          <t>%</t>
        </is>
      </c>
      <c r="E17" s="16" t="inlineStr">
        <is>
          <t>全体の物差し。ダンプ本体、変換、圧縮、GC、JIT</t>
        </is>
      </c>
    </row>
    <row r="18" ht="28" customHeight="1">
      <c r="A18" s="35" t="inlineStr">
        <is>
          <t>計測</t>
        </is>
      </c>
      <c r="B18" s="16" t="inlineStr">
        <is>
          <t>sy OSの手伝い</t>
        </is>
      </c>
      <c r="C18" s="26" t="n">
        <v>3.1</v>
      </c>
      <c r="D18" s="35" t="inlineStr">
        <is>
          <t>%</t>
        </is>
      </c>
      <c r="E18" s="16" t="inlineStr">
        <is>
          <t>カーネル。3%台ならOSは押しつぶされていない</t>
        </is>
      </c>
    </row>
    <row r="19" ht="28" customHeight="1">
      <c r="A19" s="35" t="inlineStr">
        <is>
          <t>計測</t>
        </is>
      </c>
      <c r="B19" s="16" t="inlineStr">
        <is>
          <t>ni 優先度を下げた計算</t>
        </is>
      </c>
      <c r="C19" s="26" t="n">
        <v>0</v>
      </c>
      <c r="D19" s="35" t="inlineStr">
        <is>
          <t>%</t>
        </is>
      </c>
      <c r="E19" s="16" t="inlineStr">
        <is>
          <t>今回は0</t>
        </is>
      </c>
    </row>
    <row r="20" ht="28" customHeight="1">
      <c r="A20" s="35" t="inlineStr">
        <is>
          <t>計測</t>
        </is>
      </c>
      <c r="B20" s="16" t="inlineStr">
        <is>
          <t>wa ディスク待ち</t>
        </is>
      </c>
      <c r="C20" s="26" t="n">
        <v>0</v>
      </c>
      <c r="D20" s="35" t="inlineStr">
        <is>
          <t>%</t>
        </is>
      </c>
      <c r="E20" s="16" t="inlineStr">
        <is>
          <t>この瞬間はディスクが律速ではない</t>
        </is>
      </c>
    </row>
    <row r="21" ht="28" customHeight="1">
      <c r="A21" s="35" t="inlineStr">
        <is>
          <t>計測</t>
        </is>
      </c>
      <c r="B21" s="16" t="inlineStr">
        <is>
          <t>hi ハードウェア割り込み</t>
        </is>
      </c>
      <c r="C21" s="26" t="n">
        <v>0.8</v>
      </c>
      <c r="D21" s="35" t="inlineStr">
        <is>
          <t>%</t>
        </is>
      </c>
      <c r="E21" s="16" t="inlineStr">
        <is>
          <t>貼り文の h1 は hi と読む</t>
        </is>
      </c>
    </row>
    <row r="22" ht="28" customHeight="1">
      <c r="A22" s="35" t="inlineStr">
        <is>
          <t>計測</t>
        </is>
      </c>
      <c r="B22" s="16" t="inlineStr">
        <is>
          <t>si ソフトウェア割り込み</t>
        </is>
      </c>
      <c r="C22" s="26" t="n">
        <v>0.1</v>
      </c>
      <c r="D22" s="35" t="inlineStr">
        <is>
          <t>%</t>
        </is>
      </c>
      <c r="E22" s="16" t="inlineStr">
        <is>
          <t>今回は小さい</t>
        </is>
      </c>
    </row>
    <row r="23" ht="28" customHeight="1">
      <c r="A23" s="35" t="inlineStr">
        <is>
          <t>計測</t>
        </is>
      </c>
      <c r="B23" s="16" t="inlineStr">
        <is>
          <t>st 取り上げ</t>
        </is>
      </c>
      <c r="C23" s="26" t="n">
        <v>0</v>
      </c>
      <c r="D23" s="35" t="inlineStr">
        <is>
          <t>%</t>
        </is>
      </c>
      <c r="E23" s="16" t="inlineStr">
        <is>
          <t>Nitroは契約したvCPUを渡している</t>
        </is>
      </c>
    </row>
    <row r="24" ht="28" customHeight="1">
      <c r="A24" s="35" t="inlineStr">
        <is>
          <t>計測</t>
        </is>
      </c>
      <c r="B24" s="16" t="inlineStr">
        <is>
          <t>メモリ総量</t>
        </is>
      </c>
      <c r="C24" s="58" t="n">
        <v>15358.3</v>
      </c>
      <c r="D24" s="35" t="inlineStr">
        <is>
          <t>MiB</t>
        </is>
      </c>
      <c r="E24" s="16" t="inlineStr">
        <is>
          <t>公称16GiBから約1.0GiBを引いた量</t>
        </is>
      </c>
    </row>
    <row r="25" ht="28" customHeight="1">
      <c r="A25" s="35" t="inlineStr">
        <is>
          <t>計測</t>
        </is>
      </c>
      <c r="B25" s="16" t="inlineStr">
        <is>
          <t>free</t>
        </is>
      </c>
      <c r="C25" s="58" t="n">
        <v>1201.1</v>
      </c>
      <c r="D25" s="35" t="inlineStr">
        <is>
          <t>MiB</t>
        </is>
      </c>
      <c r="E25" s="16" t="inlineStr">
        <is>
          <t>完全に空いている分。不足の判断には使わない</t>
        </is>
      </c>
    </row>
    <row r="26" ht="28" customHeight="1">
      <c r="A26" s="35" t="inlineStr">
        <is>
          <t>計測</t>
        </is>
      </c>
      <c r="B26" s="16" t="inlineStr">
        <is>
          <t>used</t>
        </is>
      </c>
      <c r="C26" s="58" t="n">
        <v>5557.3</v>
      </c>
      <c r="D26" s="35" t="inlineStr">
        <is>
          <t>MiB</t>
        </is>
      </c>
      <c r="E26" s="16" t="inlineStr">
        <is>
          <t>アプリとOSが使っている分</t>
        </is>
      </c>
    </row>
    <row r="27" ht="28" customHeight="1">
      <c r="A27" s="35" t="inlineStr">
        <is>
          <t>計測</t>
        </is>
      </c>
      <c r="B27" s="16" t="inlineStr">
        <is>
          <t>buff/cache</t>
        </is>
      </c>
      <c r="C27" s="58" t="n">
        <v>8939.6</v>
      </c>
      <c r="D27" s="35" t="inlineStr">
        <is>
          <t>MiB</t>
        </is>
      </c>
      <c r="E27" s="16" t="inlineStr">
        <is>
          <t>戻せる下書き。freeが少なくても不足とは限らない</t>
        </is>
      </c>
    </row>
    <row r="28" ht="28" customHeight="1">
      <c r="A28" s="35" t="inlineStr">
        <is>
          <t>計測</t>
        </is>
      </c>
      <c r="B28" s="16" t="inlineStr">
        <is>
          <t>available</t>
        </is>
      </c>
      <c r="C28" s="58" t="n">
        <v>9801.1</v>
      </c>
      <c r="D28" s="35" t="inlineStr">
        <is>
          <t>MiB</t>
        </is>
      </c>
      <c r="E28" s="16" t="inlineStr">
        <is>
          <t>判断に使う空き。約64%</t>
        </is>
      </c>
    </row>
    <row r="29" ht="28" customHeight="1">
      <c r="A29" s="35" t="inlineStr">
        <is>
          <t>計測</t>
        </is>
      </c>
      <c r="B29" s="16" t="inlineStr">
        <is>
          <t>スワップ総量</t>
        </is>
      </c>
      <c r="C29" s="58" t="n">
        <v>3814.7</v>
      </c>
      <c r="D29" s="35" t="inlineStr">
        <is>
          <t>MiB</t>
        </is>
      </c>
      <c r="E29" s="16" t="inlineStr">
        <is>
          <t>領域があること自体は問題ではない</t>
        </is>
      </c>
    </row>
    <row r="30" ht="28" customHeight="1">
      <c r="A30" s="35" t="inlineStr">
        <is>
          <t>計測</t>
        </is>
      </c>
      <c r="B30" s="16" t="inlineStr">
        <is>
          <t>スワップ使用</t>
        </is>
      </c>
      <c r="C30" s="58" t="n">
        <v>0.2</v>
      </c>
      <c r="D30" s="35" t="inlineStr">
        <is>
          <t>MiB</t>
        </is>
      </c>
      <c r="E30" s="16" t="inlineStr">
        <is>
          <t>ほぼゼロ。メモリをディスクへ逃がしていない</t>
        </is>
      </c>
    </row>
    <row r="31" ht="28" customHeight="1">
      <c r="A31" s="35" t="inlineStr">
        <is>
          <t>計測</t>
        </is>
      </c>
      <c r="B31" s="16" t="inlineStr">
        <is>
          <t>プロセス%CPU 1</t>
        </is>
      </c>
      <c r="C31" s="26" t="n">
        <v>125.5</v>
      </c>
      <c r="D31" s="35" t="inlineStr">
        <is>
          <t>%</t>
        </is>
      </c>
      <c r="E31" s="16" t="inlineStr">
        <is>
          <t>1コア＝100%。1.25コアぶん</t>
        </is>
      </c>
    </row>
    <row r="32" ht="28" customHeight="1">
      <c r="A32" s="35" t="inlineStr">
        <is>
          <t>計測</t>
        </is>
      </c>
      <c r="B32" s="16" t="inlineStr">
        <is>
          <t>プロセス%CPU 2</t>
        </is>
      </c>
      <c r="C32" s="26" t="n">
        <v>122.4</v>
      </c>
      <c r="D32" s="35" t="inlineStr">
        <is>
          <t>%</t>
        </is>
      </c>
      <c r="E32" s="16" t="inlineStr">
        <is>
          <t>1本のJVMの中の複数スレッド</t>
        </is>
      </c>
    </row>
    <row r="33" ht="28" customHeight="1">
      <c r="A33" s="35" t="inlineStr">
        <is>
          <t>計測</t>
        </is>
      </c>
      <c r="B33" s="16" t="inlineStr">
        <is>
          <t>プロセス%CPU 3</t>
        </is>
      </c>
      <c r="C33" s="26" t="n">
        <v>115.1</v>
      </c>
      <c r="D33" s="35" t="inlineStr">
        <is>
          <t>%</t>
        </is>
      </c>
      <c r="E33" s="16" t="inlineStr"/>
    </row>
    <row r="34" ht="28" customHeight="1">
      <c r="A34" s="35" t="inlineStr">
        <is>
          <t>計測</t>
        </is>
      </c>
      <c r="B34" s="16" t="inlineStr">
        <is>
          <t>プロセス%CPU 4</t>
        </is>
      </c>
      <c r="C34" s="26" t="n">
        <v>108.6</v>
      </c>
      <c r="D34" s="35" t="inlineStr">
        <is>
          <t>%</t>
        </is>
      </c>
      <c r="E34" s="16" t="inlineStr"/>
    </row>
    <row r="35" ht="28" customHeight="1">
      <c r="A35" s="35" t="inlineStr">
        <is>
          <t>計測</t>
        </is>
      </c>
      <c r="B35" s="16" t="inlineStr">
        <is>
          <t>プロセス%CPU 5</t>
        </is>
      </c>
      <c r="C35" s="26" t="n">
        <v>101</v>
      </c>
      <c r="D35" s="35" t="inlineStr">
        <is>
          <t>%</t>
        </is>
      </c>
      <c r="E35" s="16" t="inlineStr"/>
    </row>
    <row r="36" ht="28" customHeight="1">
      <c r="A36" s="35" t="inlineStr">
        <is>
          <t>計測</t>
        </is>
      </c>
      <c r="B36" s="16" t="inlineStr">
        <is>
          <t>プロセス%CPU 6</t>
        </is>
      </c>
      <c r="C36" s="26" t="n">
        <v>88.5</v>
      </c>
      <c r="D36" s="35" t="inlineStr">
        <is>
          <t>%</t>
        </is>
      </c>
      <c r="E36" s="16" t="inlineStr">
        <is>
          <t>100%未満</t>
        </is>
      </c>
    </row>
    <row r="37" ht="28" customHeight="1">
      <c r="A37" s="35" t="inlineStr">
        <is>
          <t>計測</t>
        </is>
      </c>
      <c r="B37" s="16" t="inlineStr">
        <is>
          <t>プロセス%CPU 7</t>
        </is>
      </c>
      <c r="C37" s="26" t="n">
        <v>76.59999999999999</v>
      </c>
      <c r="D37" s="35" t="inlineStr">
        <is>
          <t>%</t>
        </is>
      </c>
      <c r="E37" s="16" t="inlineStr">
        <is>
          <t>以下は省略されている</t>
        </is>
      </c>
    </row>
    <row r="39" ht="24" customHeight="1">
      <c r="A39" s="10" t="inlineStr"/>
      <c r="B39" s="55" t="n"/>
      <c r="C39" s="55" t="n"/>
      <c r="D39" s="55" t="n"/>
      <c r="E39" s="56" t="n"/>
    </row>
    <row r="40" ht="28" customHeight="1">
      <c r="A40" s="40" t="inlineStr">
        <is>
          <t>計算</t>
        </is>
      </c>
      <c r="B40" s="13" t="inlineStr">
        <is>
          <t>ITの同時JVM</t>
        </is>
      </c>
      <c r="C40" s="41">
        <f>MIN(IT_JOBS,IT_MULTI)*IT_PER</f>
        <v/>
      </c>
      <c r="D40" s="40" t="inlineStr">
        <is>
          <t>本</t>
        </is>
      </c>
      <c r="E40" s="14" t="inlineStr">
        <is>
          <t>min(仕事, マルチ) × 1ジョブのJVM</t>
        </is>
      </c>
    </row>
    <row r="41" ht="28" customHeight="1">
      <c r="A41" s="40" t="inlineStr">
        <is>
          <t>計算</t>
        </is>
      </c>
      <c r="B41" s="13" t="inlineStr">
        <is>
          <t>ITのコア比</t>
        </is>
      </c>
      <c r="C41" s="41">
        <f>IF(IT_VCPU=0,"",IT_CONC/IT_VCPU)</f>
        <v/>
      </c>
      <c r="D41" s="40" t="inlineStr">
        <is>
          <t>倍</t>
        </is>
      </c>
      <c r="E41" s="14" t="inlineStr">
        <is>
          <t>1.25は、席より人が1.25倍</t>
        </is>
      </c>
    </row>
    <row r="42" ht="28" customHeight="1">
      <c r="A42" s="40" t="inlineStr">
        <is>
          <t>計算</t>
        </is>
      </c>
      <c r="B42" s="13" t="inlineStr">
        <is>
          <t>本番の同時JVM</t>
        </is>
      </c>
      <c r="C42" s="41">
        <f>MIN(PROD_JOBS,PROD_MULTI)*PROD_PER</f>
        <v/>
      </c>
      <c r="D42" s="40" t="inlineStr">
        <is>
          <t>本</t>
        </is>
      </c>
      <c r="E42" s="14" t="inlineStr">
        <is>
          <t>マルチ32、1ジョブ1JVMなら32</t>
        </is>
      </c>
    </row>
    <row r="43" ht="28" customHeight="1">
      <c r="A43" s="40" t="inlineStr">
        <is>
          <t>計算</t>
        </is>
      </c>
      <c r="B43" s="13" t="inlineStr">
        <is>
          <t>本番のコア比</t>
        </is>
      </c>
      <c r="C43" s="41">
        <f>IF(PROD_VCPU=0,"",PROD_CONC/PROD_VCPU)</f>
        <v/>
      </c>
      <c r="D43" s="40" t="inlineStr">
        <is>
          <t>倍</t>
        </is>
      </c>
      <c r="E43" s="14" t="inlineStr">
        <is>
          <t>1.00がコアと一致</t>
        </is>
      </c>
    </row>
    <row r="44" ht="28" customHeight="1">
      <c r="A44" s="40" t="inlineStr">
        <is>
          <t>計算</t>
        </is>
      </c>
      <c r="B44" s="13" t="inlineStr">
        <is>
          <t>1分ロード÷コア</t>
        </is>
      </c>
      <c r="C44" s="41">
        <f>IF(IT_VCPU=0,"",LOAD1/IT_VCPU)</f>
        <v/>
      </c>
      <c r="D44" s="40" t="inlineStr">
        <is>
          <t>倍</t>
        </is>
      </c>
      <c r="E44" s="14" t="inlineStr">
        <is>
          <t>1を超えると順番待ちがある</t>
        </is>
      </c>
    </row>
    <row r="45" ht="28" customHeight="1">
      <c r="A45" s="40" t="inlineStr">
        <is>
          <t>計算</t>
        </is>
      </c>
      <c r="B45" s="13" t="inlineStr">
        <is>
          <t>5分ロード÷コア</t>
        </is>
      </c>
      <c r="C45" s="41">
        <f>IF(IT_VCPU=0,"",LOAD5/IT_VCPU)</f>
        <v/>
      </c>
      <c r="D45" s="40" t="inlineStr">
        <is>
          <t>倍</t>
        </is>
      </c>
      <c r="E45" s="14" t="inlineStr">
        <is>
          <t>1未満なら5分平均は満席未満</t>
        </is>
      </c>
    </row>
    <row r="46" ht="28" customHeight="1">
      <c r="A46" s="40" t="inlineStr">
        <is>
          <t>計算</t>
        </is>
      </c>
      <c r="B46" s="13" t="inlineStr">
        <is>
          <t>15分ロード÷コア</t>
        </is>
      </c>
      <c r="C46" s="41">
        <f>IF(IT_VCPU=0,"",LOAD15/IT_VCPU)</f>
        <v/>
      </c>
      <c r="D46" s="40" t="inlineStr">
        <is>
          <t>倍</t>
        </is>
      </c>
      <c r="E46" s="14" t="inlineStr">
        <is>
          <t>0.25前後なら長い不足ではない</t>
        </is>
      </c>
    </row>
    <row r="47" ht="28" customHeight="1">
      <c r="A47" s="40" t="inlineStr">
        <is>
          <t>計算</t>
        </is>
      </c>
      <c r="B47" s="13" t="inlineStr">
        <is>
          <t>1分の順番待ち</t>
        </is>
      </c>
      <c r="C47" s="41">
        <f>LOAD1-IT_VCPU</f>
        <v/>
      </c>
      <c r="D47" s="40" t="inlineStr">
        <is>
          <t>人</t>
        </is>
      </c>
      <c r="E47" s="14" t="inlineStr">
        <is>
          <t>走れる8人を超えた分</t>
        </is>
      </c>
    </row>
    <row r="48" ht="28" customHeight="1">
      <c r="A48" s="40" t="inlineStr">
        <is>
          <t>計算</t>
        </is>
      </c>
      <c r="B48" s="13" t="inlineStr">
        <is>
          <t>CPU内訳の合計</t>
        </is>
      </c>
      <c r="C48" s="42">
        <f>US+SY+NI+WA+HI+SI+ST</f>
        <v/>
      </c>
      <c r="D48" s="40" t="inlineStr">
        <is>
          <t>%</t>
        </is>
      </c>
      <c r="E48" s="14" t="inlineStr">
        <is>
          <t>100に近ければ全体は使い切り</t>
        </is>
      </c>
    </row>
    <row r="49" ht="28" customHeight="1">
      <c r="A49" s="40" t="inlineStr">
        <is>
          <t>計算</t>
        </is>
      </c>
      <c r="B49" s="13" t="inlineStr">
        <is>
          <t>空き（残り）</t>
        </is>
      </c>
      <c r="C49" s="42">
        <f>MAX(0,100-CPU_SUM)</f>
        <v/>
      </c>
      <c r="D49" s="40" t="inlineStr">
        <is>
          <t>%</t>
        </is>
      </c>
      <c r="E49" s="14" t="inlineStr">
        <is>
          <t>貼り文にidが無いので、残りを空きと読む</t>
        </is>
      </c>
    </row>
    <row r="50" ht="28" customHeight="1">
      <c r="A50" s="40" t="inlineStr">
        <is>
          <t>計算</t>
        </is>
      </c>
      <c r="B50" s="13" t="inlineStr">
        <is>
          <t>上位7本の合計</t>
        </is>
      </c>
      <c r="C50" s="42">
        <f>PROC1+PROC2+PROC3+PROC4+PROC5+PROC6+PROC7</f>
        <v/>
      </c>
      <c r="D50" s="40" t="inlineStr">
        <is>
          <t>%</t>
        </is>
      </c>
      <c r="E50" s="14" t="inlineStr">
        <is>
          <t>1コア＝100%の足し算</t>
        </is>
      </c>
    </row>
    <row r="51" ht="28" customHeight="1">
      <c r="A51" s="40" t="inlineStr">
        <is>
          <t>計算</t>
        </is>
      </c>
      <c r="B51" s="13" t="inlineStr">
        <is>
          <t>7本÷満点800</t>
        </is>
      </c>
      <c r="C51" s="59">
        <f>PROC_SUM/800</f>
        <v/>
      </c>
      <c r="D51" s="40" t="inlineStr">
        <is>
          <t>割合</t>
        </is>
      </c>
      <c r="E51" s="14" t="inlineStr">
        <is>
          <t>8コアの満点に対する占有</t>
        </is>
      </c>
    </row>
    <row r="52" ht="28" customHeight="1">
      <c r="A52" s="40" t="inlineStr">
        <is>
          <t>計算</t>
        </is>
      </c>
      <c r="B52" s="13" t="inlineStr">
        <is>
          <t>100%を超えた本数</t>
        </is>
      </c>
      <c r="C52" s="44">
        <f>(PROC1&gt;100)+(PROC2&gt;100)+(PROC3&gt;100)+(PROC4&gt;100)+(PROC5&gt;100)+(PROC6&gt;100)+(PROC7&gt;100)</f>
        <v/>
      </c>
      <c r="D52" s="40" t="inlineStr">
        <is>
          <t>本</t>
        </is>
      </c>
      <c r="E52" s="14" t="inlineStr">
        <is>
          <t>上位7本のうち</t>
        </is>
      </c>
    </row>
    <row r="53" ht="28" customHeight="1">
      <c r="A53" s="40" t="inlineStr">
        <is>
          <t>計算</t>
        </is>
      </c>
      <c r="B53" s="13" t="inlineStr">
        <is>
          <t>availableの割合</t>
        </is>
      </c>
      <c r="C53" s="59">
        <f>IF(MEM_TOTAL=0,"",MEM_AVAIL/MEM_TOTAL)</f>
        <v/>
      </c>
      <c r="D53" s="40" t="inlineStr">
        <is>
          <t>割合</t>
        </is>
      </c>
      <c r="E53" s="14" t="inlineStr">
        <is>
          <t>64%前後ならメモリは足りている</t>
        </is>
      </c>
    </row>
    <row r="54" ht="28" customHeight="1">
      <c r="A54" s="40" t="inlineStr">
        <is>
          <t>計算</t>
        </is>
      </c>
      <c r="B54" s="13" t="inlineStr">
        <is>
          <t>ITの並列GC／JVM</t>
        </is>
      </c>
      <c r="C54" s="44">
        <f>IF(IT_VCPU&lt;=8,IT_VCPU,8+INT((IT_VCPU-8)*5/8))</f>
        <v/>
      </c>
      <c r="D54" s="40" t="inlineStr">
        <is>
          <t>本</t>
        </is>
      </c>
      <c r="E54" s="14" t="inlineStr">
        <is>
          <t>見えるCPUからHotSpotが決める名札</t>
        </is>
      </c>
    </row>
    <row r="55" ht="28" customHeight="1">
      <c r="A55" s="40" t="inlineStr">
        <is>
          <t>計算</t>
        </is>
      </c>
      <c r="B55" s="13" t="inlineStr">
        <is>
          <t>本番の並列GC／JVM</t>
        </is>
      </c>
      <c r="C55" s="44">
        <f>IF(PROD_VCPU&lt;=8,PROD_VCPU,8+INT((PROD_VCPU-8)*5/8))</f>
        <v/>
      </c>
      <c r="D55" s="40" t="inlineStr">
        <is>
          <t>本</t>
        </is>
      </c>
      <c r="E55" s="14" t="inlineStr">
        <is>
          <t>32コアなら23</t>
        </is>
      </c>
    </row>
    <row r="56" ht="28" customHeight="1">
      <c r="A56" s="40" t="inlineStr">
        <is>
          <t>計算</t>
        </is>
      </c>
      <c r="B56" s="13" t="inlineStr">
        <is>
          <t>ITのGC名札合計</t>
        </is>
      </c>
      <c r="C56" s="44">
        <f>IT_CONC*GC_IT</f>
        <v/>
      </c>
      <c r="D56" s="40" t="inlineStr">
        <is>
          <t>本</t>
        </is>
      </c>
      <c r="E56" s="14" t="inlineStr">
        <is>
          <t>同時に全員が走るとは限らない</t>
        </is>
      </c>
    </row>
    <row r="57" ht="28" customHeight="1">
      <c r="A57" s="40" t="inlineStr">
        <is>
          <t>計算</t>
        </is>
      </c>
      <c r="B57" s="13" t="inlineStr">
        <is>
          <t>本番のGC名札合計</t>
        </is>
      </c>
      <c r="C57" s="44">
        <f>PROD_CONC*GC_PROD</f>
        <v/>
      </c>
      <c r="D57" s="40" t="inlineStr">
        <is>
          <t>本</t>
        </is>
      </c>
      <c r="E57" s="14" t="inlineStr">
        <is>
          <t>マルチ32なら32×23</t>
        </is>
      </c>
    </row>
    <row r="58" ht="28" customHeight="1">
      <c r="A58" s="40" t="inlineStr">
        <is>
          <t>計算</t>
        </is>
      </c>
      <c r="B58" s="13" t="inlineStr">
        <is>
          <t>58本同時のGC名札</t>
        </is>
      </c>
      <c r="C58" s="44">
        <f>PROD_JOBS*PROD_PER*GC_PROD</f>
        <v/>
      </c>
      <c r="D58" s="40" t="inlineStr">
        <is>
          <t>本</t>
        </is>
      </c>
      <c r="E58" s="14" t="inlineStr">
        <is>
          <t>58を同時にした場合の名札。基本にしない</t>
        </is>
      </c>
    </row>
    <row r="60" ht="24" customHeight="1">
      <c r="A60" s="10" t="inlineStr">
        <is>
          <t>同時実行を変えたときの終了指数　D列（マルチ）と、仕事の本数が数字のセルは入力できる</t>
        </is>
      </c>
      <c r="B60" s="55" t="n"/>
      <c r="C60" s="55" t="n"/>
      <c r="D60" s="55" t="n"/>
      <c r="E60" s="55" t="n"/>
      <c r="F60" s="55" t="n"/>
      <c r="G60" s="55" t="n"/>
      <c r="H60" s="55" t="n"/>
      <c r="I60" s="55" t="n"/>
      <c r="J60" s="55" t="n"/>
      <c r="K60" s="55" t="n"/>
      <c r="L60" s="56" t="n"/>
    </row>
    <row r="61" ht="22" customHeight="1">
      <c r="A61" s="17" t="inlineStr">
        <is>
          <t>場面</t>
        </is>
      </c>
      <c r="B61" s="17" t="inlineStr">
        <is>
          <t>仕事</t>
        </is>
      </c>
      <c r="C61" s="17" t="inlineStr">
        <is>
          <t>vCPU</t>
        </is>
      </c>
      <c r="D61" s="17" t="inlineStr">
        <is>
          <t>マルチ</t>
        </is>
      </c>
      <c r="E61" s="17" t="inlineStr">
        <is>
          <t>1ジョブJVM</t>
        </is>
      </c>
      <c r="F61" s="17" t="inlineStr">
        <is>
          <t>同時JVM</t>
        </is>
      </c>
      <c r="G61" s="17" t="inlineStr">
        <is>
          <t>コア比</t>
        </is>
      </c>
      <c r="H61" s="17" t="inlineStr">
        <is>
          <t>波</t>
        </is>
      </c>
      <c r="I61" s="17" t="inlineStr">
        <is>
          <t>終了指数</t>
        </is>
      </c>
      <c r="J61" s="17" t="inlineStr">
        <is>
          <t>読み</t>
        </is>
      </c>
      <c r="K61" s="17" t="inlineStr">
        <is>
          <t>GC／JVM</t>
        </is>
      </c>
      <c r="L61" s="17" t="inlineStr">
        <is>
          <t>GC名札</t>
        </is>
      </c>
    </row>
    <row r="62" ht="60" customHeight="1">
      <c r="A62" s="16" t="inlineStr">
        <is>
          <t>IT 仕事は入力どおり・マルチ10</t>
        </is>
      </c>
      <c r="B62" s="45">
        <f>IT_JOBS</f>
        <v/>
      </c>
      <c r="C62" s="45">
        <f>IT_VCPU</f>
        <v/>
      </c>
      <c r="D62" s="38" t="n">
        <v>10</v>
      </c>
      <c r="E62" s="45">
        <f>IT_PER</f>
        <v/>
      </c>
      <c r="F62" s="46">
        <f>IF(OR(B62&lt;=0,D62&lt;=0,E62&lt;=0),"",MIN(B62,D62)*E62)</f>
        <v/>
      </c>
      <c r="G62" s="46">
        <f>IF(OR(C62&lt;=0,F62=""),"",F62/C62)</f>
        <v/>
      </c>
      <c r="H62" s="47">
        <f>IF(OR(B62&lt;=0,D62&lt;=0),"",ROUNDUP(B62/MIN(B62,D62),0))</f>
        <v/>
      </c>
      <c r="I62" s="48">
        <f>IF(OR(B62&lt;=0,D62&lt;=0,E62&lt;=0,C62&lt;=0),"",IF(ROUNDUP(B62/MIN(B62,D62),0)&lt;=1,IF(((B62-(ROUNDUP(B62/MIN(B62,D62),0)-1)*MIN(B62,D62))*E62)&lt;=C62,1,((B62-(ROUNDUP(B62/MIN(B62,D62),0)-1)*MIN(B62,D62))*E62)/C62),(ROUNDUP(B62/MIN(B62,D62),0)-1)*IF((MIN(B62,D62)*E62)&lt;=C62,1,(MIN(B62,D62)*E62)/C62)+IF(((B62-(ROUNDUP(B62/MIN(B62,D62),0)-1)*MIN(B62,D62))*E62)&lt;=C62,1,((B62-(ROUNDUP(B62/MIN(B62,D62),0)-1)*MIN(B62,D62))*E62)/C62)))</f>
        <v/>
      </c>
      <c r="J62" s="16">
        <f>IF(G62="","",IF(G62&gt;1.5,"大きく超過。同時実行の基本にしない",IF(G62&gt;1.02,"コア超過。仕事が少ない回は壁時計が短い。列が続くと速くならない",IF(G62&gt;=0.95,"コアと一致。継続運用の基準","コアより少ない。警報を消す目的だけなら、本数ではなく閾値を直す"))))</f>
        <v/>
      </c>
      <c r="K62" s="47">
        <f>IF(C62="","",IF(C62&lt;=8,C62,8+INT((C62-8)*5/8)))</f>
        <v/>
      </c>
      <c r="L62" s="47">
        <f>IF(OR(F62="",K62=""),"",F62*K62)</f>
        <v/>
      </c>
    </row>
    <row r="63" ht="60" customHeight="1">
      <c r="A63" s="16" t="inlineStr">
        <is>
          <t>IT 仕事は入力どおり・マルチ8</t>
        </is>
      </c>
      <c r="B63" s="45">
        <f>IT_JOBS</f>
        <v/>
      </c>
      <c r="C63" s="45">
        <f>IT_VCPU</f>
        <v/>
      </c>
      <c r="D63" s="38" t="n">
        <v>8</v>
      </c>
      <c r="E63" s="45">
        <f>IT_PER</f>
        <v/>
      </c>
      <c r="F63" s="46">
        <f>IF(OR(B63&lt;=0,D63&lt;=0,E63&lt;=0),"",MIN(B63,D63)*E63)</f>
        <v/>
      </c>
      <c r="G63" s="46">
        <f>IF(OR(C63&lt;=0,F63=""),"",F63/C63)</f>
        <v/>
      </c>
      <c r="H63" s="47">
        <f>IF(OR(B63&lt;=0,D63&lt;=0),"",ROUNDUP(B63/MIN(B63,D63),0))</f>
        <v/>
      </c>
      <c r="I63" s="48">
        <f>IF(OR(B63&lt;=0,D63&lt;=0,E63&lt;=0,C63&lt;=0),"",IF(ROUNDUP(B63/MIN(B63,D63),0)&lt;=1,IF(((B63-(ROUNDUP(B63/MIN(B63,D63),0)-1)*MIN(B63,D63))*E63)&lt;=C63,1,((B63-(ROUNDUP(B63/MIN(B63,D63),0)-1)*MIN(B63,D63))*E63)/C63),(ROUNDUP(B63/MIN(B63,D63),0)-1)*IF((MIN(B63,D63)*E63)&lt;=C63,1,(MIN(B63,D63)*E63)/C63)+IF(((B63-(ROUNDUP(B63/MIN(B63,D63),0)-1)*MIN(B63,D63))*E63)&lt;=C63,1,((B63-(ROUNDUP(B63/MIN(B63,D63),0)-1)*MIN(B63,D63))*E63)/C63)))</f>
        <v/>
      </c>
      <c r="J63" s="16">
        <f>IF(G63="","",IF(G63&gt;1.5,"大きく超過。同時実行の基本にしない",IF(G63&gt;1.02,"コア超過。仕事が少ない回は壁時計が短い。列が続くと速くならない",IF(G63&gt;=0.95,"コアと一致。継続運用の基準","コアより少ない。警報を消す目的だけなら、本数ではなく閾値を直す"))))</f>
        <v/>
      </c>
      <c r="K63" s="47">
        <f>IF(C63="","",IF(C63&lt;=8,C63,8+INT((C63-8)*5/8)))</f>
        <v/>
      </c>
      <c r="L63" s="47">
        <f>IF(OR(F63="",K63=""),"",F63*K63)</f>
        <v/>
      </c>
    </row>
    <row r="64" ht="60" customHeight="1">
      <c r="A64" s="16" t="inlineStr">
        <is>
          <t>IT 仕事は入力どおり・マルチ7</t>
        </is>
      </c>
      <c r="B64" s="45">
        <f>IT_JOBS</f>
        <v/>
      </c>
      <c r="C64" s="45">
        <f>IT_VCPU</f>
        <v/>
      </c>
      <c r="D64" s="38" t="n">
        <v>7</v>
      </c>
      <c r="E64" s="45">
        <f>IT_PER</f>
        <v/>
      </c>
      <c r="F64" s="46">
        <f>IF(OR(B64&lt;=0,D64&lt;=0,E64&lt;=0),"",MIN(B64,D64)*E64)</f>
        <v/>
      </c>
      <c r="G64" s="46">
        <f>IF(OR(C64&lt;=0,F64=""),"",F64/C64)</f>
        <v/>
      </c>
      <c r="H64" s="47">
        <f>IF(OR(B64&lt;=0,D64&lt;=0),"",ROUNDUP(B64/MIN(B64,D64),0))</f>
        <v/>
      </c>
      <c r="I64" s="48">
        <f>IF(OR(B64&lt;=0,D64&lt;=0,E64&lt;=0,C64&lt;=0),"",IF(ROUNDUP(B64/MIN(B64,D64),0)&lt;=1,IF(((B64-(ROUNDUP(B64/MIN(B64,D64),0)-1)*MIN(B64,D64))*E64)&lt;=C64,1,((B64-(ROUNDUP(B64/MIN(B64,D64),0)-1)*MIN(B64,D64))*E64)/C64),(ROUNDUP(B64/MIN(B64,D64),0)-1)*IF((MIN(B64,D64)*E64)&lt;=C64,1,(MIN(B64,D64)*E64)/C64)+IF(((B64-(ROUNDUP(B64/MIN(B64,D64),0)-1)*MIN(B64,D64))*E64)&lt;=C64,1,((B64-(ROUNDUP(B64/MIN(B64,D64),0)-1)*MIN(B64,D64))*E64)/C64)))</f>
        <v/>
      </c>
      <c r="J64" s="16">
        <f>IF(G64="","",IF(G64&gt;1.5,"大きく超過。同時実行の基本にしない",IF(G64&gt;1.02,"コア超過。仕事が少ない回は壁時計が短い。列が続くと速くならない",IF(G64&gt;=0.95,"コアと一致。継続運用の基準","コアより少ない。警報を消す目的だけなら、本数ではなく閾値を直す"))))</f>
        <v/>
      </c>
      <c r="K64" s="47">
        <f>IF(C64="","",IF(C64&lt;=8,C64,8+INT((C64-8)*5/8)))</f>
        <v/>
      </c>
      <c r="L64" s="47">
        <f>IF(OR(F64="",K64=""),"",F64*K64)</f>
        <v/>
      </c>
    </row>
    <row r="65" ht="60" customHeight="1">
      <c r="A65" s="16" t="inlineStr">
        <is>
          <t>IT 仕事が多い・マルチ8</t>
        </is>
      </c>
      <c r="B65" s="38" t="n">
        <v>80</v>
      </c>
      <c r="C65" s="45">
        <f>IT_VCPU</f>
        <v/>
      </c>
      <c r="D65" s="38" t="n">
        <v>8</v>
      </c>
      <c r="E65" s="45">
        <f>IT_PER</f>
        <v/>
      </c>
      <c r="F65" s="46">
        <f>IF(OR(B65&lt;=0,D65&lt;=0,E65&lt;=0),"",MIN(B65,D65)*E65)</f>
        <v/>
      </c>
      <c r="G65" s="46">
        <f>IF(OR(C65&lt;=0,F65=""),"",F65/C65)</f>
        <v/>
      </c>
      <c r="H65" s="47">
        <f>IF(OR(B65&lt;=0,D65&lt;=0),"",ROUNDUP(B65/MIN(B65,D65),0))</f>
        <v/>
      </c>
      <c r="I65" s="48">
        <f>IF(OR(B65&lt;=0,D65&lt;=0,E65&lt;=0,C65&lt;=0),"",IF(ROUNDUP(B65/MIN(B65,D65),0)&lt;=1,IF(((B65-(ROUNDUP(B65/MIN(B65,D65),0)-1)*MIN(B65,D65))*E65)&lt;=C65,1,((B65-(ROUNDUP(B65/MIN(B65,D65),0)-1)*MIN(B65,D65))*E65)/C65),(ROUNDUP(B65/MIN(B65,D65),0)-1)*IF((MIN(B65,D65)*E65)&lt;=C65,1,(MIN(B65,D65)*E65)/C65)+IF(((B65-(ROUNDUP(B65/MIN(B65,D65),0)-1)*MIN(B65,D65))*E65)&lt;=C65,1,((B65-(ROUNDUP(B65/MIN(B65,D65),0)-1)*MIN(B65,D65))*E65)/C65)))</f>
        <v/>
      </c>
      <c r="J65" s="16">
        <f>IF(G65="","",IF(G65&gt;1.5,"大きく超過。同時実行の基本にしない",IF(G65&gt;1.02,"コア超過。仕事が少ない回は壁時計が短い。列が続くと速くならない",IF(G65&gt;=0.95,"コアと一致。継続運用の基準","コアより少ない。警報を消す目的だけなら、本数ではなく閾値を直す"))))</f>
        <v/>
      </c>
      <c r="K65" s="47">
        <f>IF(C65="","",IF(C65&lt;=8,C65,8+INT((C65-8)*5/8)))</f>
        <v/>
      </c>
      <c r="L65" s="47">
        <f>IF(OR(F65="",K65=""),"",F65*K65)</f>
        <v/>
      </c>
    </row>
    <row r="66" ht="60" customHeight="1">
      <c r="A66" s="16" t="inlineStr">
        <is>
          <t>IT 仕事が多い・マルチ10</t>
        </is>
      </c>
      <c r="B66" s="38" t="n">
        <v>80</v>
      </c>
      <c r="C66" s="45">
        <f>IT_VCPU</f>
        <v/>
      </c>
      <c r="D66" s="38" t="n">
        <v>10</v>
      </c>
      <c r="E66" s="45">
        <f>IT_PER</f>
        <v/>
      </c>
      <c r="F66" s="46">
        <f>IF(OR(B66&lt;=0,D66&lt;=0,E66&lt;=0),"",MIN(B66,D66)*E66)</f>
        <v/>
      </c>
      <c r="G66" s="46">
        <f>IF(OR(C66&lt;=0,F66=""),"",F66/C66)</f>
        <v/>
      </c>
      <c r="H66" s="47">
        <f>IF(OR(B66&lt;=0,D66&lt;=0),"",ROUNDUP(B66/MIN(B66,D66),0))</f>
        <v/>
      </c>
      <c r="I66" s="48">
        <f>IF(OR(B66&lt;=0,D66&lt;=0,E66&lt;=0,C66&lt;=0),"",IF(ROUNDUP(B66/MIN(B66,D66),0)&lt;=1,IF(((B66-(ROUNDUP(B66/MIN(B66,D66),0)-1)*MIN(B66,D66))*E66)&lt;=C66,1,((B66-(ROUNDUP(B66/MIN(B66,D66),0)-1)*MIN(B66,D66))*E66)/C66),(ROUNDUP(B66/MIN(B66,D66),0)-1)*IF((MIN(B66,D66)*E66)&lt;=C66,1,(MIN(B66,D66)*E66)/C66)+IF(((B66-(ROUNDUP(B66/MIN(B66,D66),0)-1)*MIN(B66,D66))*E66)&lt;=C66,1,((B66-(ROUNDUP(B66/MIN(B66,D66),0)-1)*MIN(B66,D66))*E66)/C66)))</f>
        <v/>
      </c>
      <c r="J66" s="16">
        <f>IF(G66="","",IF(G66&gt;1.5,"大きく超過。同時実行の基本にしない",IF(G66&gt;1.02,"コア超過。仕事が少ない回は壁時計が短い。列が続くと速くならない",IF(G66&gt;=0.95,"コアと一致。継続運用の基準","コアより少ない。警報を消す目的だけなら、本数ではなく閾値を直す"))))</f>
        <v/>
      </c>
      <c r="K66" s="47">
        <f>IF(C66="","",IF(C66&lt;=8,C66,8+INT((C66-8)*5/8)))</f>
        <v/>
      </c>
      <c r="L66" s="47">
        <f>IF(OR(F66="",K66=""),"",F66*K66)</f>
        <v/>
      </c>
    </row>
    <row r="67" ht="60" customHeight="1">
      <c r="A67" s="16" t="inlineStr">
        <is>
          <t>本番 仕事は入力どおり・マルチ32</t>
        </is>
      </c>
      <c r="B67" s="45">
        <f>PROD_JOBS</f>
        <v/>
      </c>
      <c r="C67" s="45">
        <f>PROD_VCPU</f>
        <v/>
      </c>
      <c r="D67" s="38" t="n">
        <v>32</v>
      </c>
      <c r="E67" s="45">
        <f>PROD_PER</f>
        <v/>
      </c>
      <c r="F67" s="46">
        <f>IF(OR(B67&lt;=0,D67&lt;=0,E67&lt;=0),"",MIN(B67,D67)*E67)</f>
        <v/>
      </c>
      <c r="G67" s="46">
        <f>IF(OR(C67&lt;=0,F67=""),"",F67/C67)</f>
        <v/>
      </c>
      <c r="H67" s="47">
        <f>IF(OR(B67&lt;=0,D67&lt;=0),"",ROUNDUP(B67/MIN(B67,D67),0))</f>
        <v/>
      </c>
      <c r="I67" s="48">
        <f>IF(OR(B67&lt;=0,D67&lt;=0,E67&lt;=0,C67&lt;=0),"",IF(ROUNDUP(B67/MIN(B67,D67),0)&lt;=1,IF(((B67-(ROUNDUP(B67/MIN(B67,D67),0)-1)*MIN(B67,D67))*E67)&lt;=C67,1,((B67-(ROUNDUP(B67/MIN(B67,D67),0)-1)*MIN(B67,D67))*E67)/C67),(ROUNDUP(B67/MIN(B67,D67),0)-1)*IF((MIN(B67,D67)*E67)&lt;=C67,1,(MIN(B67,D67)*E67)/C67)+IF(((B67-(ROUNDUP(B67/MIN(B67,D67),0)-1)*MIN(B67,D67))*E67)&lt;=C67,1,((B67-(ROUNDUP(B67/MIN(B67,D67),0)-1)*MIN(B67,D67))*E67)/C67)))</f>
        <v/>
      </c>
      <c r="J67" s="16">
        <f>IF(G67="","",IF(G67&gt;1.5,"大きく超過。同時実行の基本にしない",IF(G67&gt;1.02,"コア超過。仕事が少ない回は壁時計が短い。列が続くと速くならない",IF(G67&gt;=0.95,"コアと一致。継続運用の基準","コアより少ない。警報を消す目的だけなら、本数ではなく閾値を直す"))))</f>
        <v/>
      </c>
      <c r="K67" s="47">
        <f>IF(C67="","",IF(C67&lt;=8,C67,8+INT((C67-8)*5/8)))</f>
        <v/>
      </c>
      <c r="L67" s="47">
        <f>IF(OR(F67="",K67=""),"",F67*K67)</f>
        <v/>
      </c>
    </row>
    <row r="68" ht="60" customHeight="1">
      <c r="A68" s="16" t="inlineStr">
        <is>
          <t>本番 仕事は入力どおり・マルチ31</t>
        </is>
      </c>
      <c r="B68" s="45">
        <f>PROD_JOBS</f>
        <v/>
      </c>
      <c r="C68" s="45">
        <f>PROD_VCPU</f>
        <v/>
      </c>
      <c r="D68" s="38" t="n">
        <v>31</v>
      </c>
      <c r="E68" s="45">
        <f>PROD_PER</f>
        <v/>
      </c>
      <c r="F68" s="46">
        <f>IF(OR(B68&lt;=0,D68&lt;=0,E68&lt;=0),"",MIN(B68,D68)*E68)</f>
        <v/>
      </c>
      <c r="G68" s="46">
        <f>IF(OR(C68&lt;=0,F68=""),"",F68/C68)</f>
        <v/>
      </c>
      <c r="H68" s="47">
        <f>IF(OR(B68&lt;=0,D68&lt;=0),"",ROUNDUP(B68/MIN(B68,D68),0))</f>
        <v/>
      </c>
      <c r="I68" s="48">
        <f>IF(OR(B68&lt;=0,D68&lt;=0,E68&lt;=0,C68&lt;=0),"",IF(ROUNDUP(B68/MIN(B68,D68),0)&lt;=1,IF(((B68-(ROUNDUP(B68/MIN(B68,D68),0)-1)*MIN(B68,D68))*E68)&lt;=C68,1,((B68-(ROUNDUP(B68/MIN(B68,D68),0)-1)*MIN(B68,D68))*E68)/C68),(ROUNDUP(B68/MIN(B68,D68),0)-1)*IF((MIN(B68,D68)*E68)&lt;=C68,1,(MIN(B68,D68)*E68)/C68)+IF(((B68-(ROUNDUP(B68/MIN(B68,D68),0)-1)*MIN(B68,D68))*E68)&lt;=C68,1,((B68-(ROUNDUP(B68/MIN(B68,D68),0)-1)*MIN(B68,D68))*E68)/C68)))</f>
        <v/>
      </c>
      <c r="J68" s="16">
        <f>IF(G68="","",IF(G68&gt;1.5,"大きく超過。同時実行の基本にしない",IF(G68&gt;1.02,"コア超過。仕事が少ない回は壁時計が短い。列が続くと速くならない",IF(G68&gt;=0.95,"コアと一致。継続運用の基準","コアより少ない。警報を消す目的だけなら、本数ではなく閾値を直す"))))</f>
        <v/>
      </c>
      <c r="K68" s="47">
        <f>IF(C68="","",IF(C68&lt;=8,C68,8+INT((C68-8)*5/8)))</f>
        <v/>
      </c>
      <c r="L68" s="47">
        <f>IF(OR(F68="",K68=""),"",F68*K68)</f>
        <v/>
      </c>
    </row>
    <row r="69" ht="60" customHeight="1">
      <c r="A69" s="16" t="inlineStr">
        <is>
          <t>本番 58本を同時に流す</t>
        </is>
      </c>
      <c r="B69" s="45">
        <f>PROD_JOBS</f>
        <v/>
      </c>
      <c r="C69" s="45">
        <f>PROD_VCPU</f>
        <v/>
      </c>
      <c r="D69" s="38" t="n">
        <v>58</v>
      </c>
      <c r="E69" s="45">
        <f>PROD_PER</f>
        <v/>
      </c>
      <c r="F69" s="46">
        <f>IF(OR(B69&lt;=0,D69&lt;=0,E69&lt;=0),"",MIN(B69,D69)*E69)</f>
        <v/>
      </c>
      <c r="G69" s="46">
        <f>IF(OR(C69&lt;=0,F69=""),"",F69/C69)</f>
        <v/>
      </c>
      <c r="H69" s="47">
        <f>IF(OR(B69&lt;=0,D69&lt;=0),"",ROUNDUP(B69/MIN(B69,D69),0))</f>
        <v/>
      </c>
      <c r="I69" s="48">
        <f>IF(OR(B69&lt;=0,D69&lt;=0,E69&lt;=0,C69&lt;=0),"",IF(ROUNDUP(B69/MIN(B69,D69),0)&lt;=1,IF(((B69-(ROUNDUP(B69/MIN(B69,D69),0)-1)*MIN(B69,D69))*E69)&lt;=C69,1,((B69-(ROUNDUP(B69/MIN(B69,D69),0)-1)*MIN(B69,D69))*E69)/C69),(ROUNDUP(B69/MIN(B69,D69),0)-1)*IF((MIN(B69,D69)*E69)&lt;=C69,1,(MIN(B69,D69)*E69)/C69)+IF(((B69-(ROUNDUP(B69/MIN(B69,D69),0)-1)*MIN(B69,D69))*E69)&lt;=C69,1,((B69-(ROUNDUP(B69/MIN(B69,D69),0)-1)*MIN(B69,D69))*E69)/C69)))</f>
        <v/>
      </c>
      <c r="J69" s="16">
        <f>IF(G69="","",IF(G69&gt;1.5,"大きく超過。同時実行の基本にしない",IF(G69&gt;1.02,"コア超過。仕事が少ない回は壁時計が短い。列が続くと速くならない",IF(G69&gt;=0.95,"コアと一致。継続運用の基準","コアより少ない。警報を消す目的だけなら、本数ではなく閾値を直す"))))</f>
        <v/>
      </c>
      <c r="K69" s="47">
        <f>IF(C69="","",IF(C69&lt;=8,C69,8+INT((C69-8)*5/8)))</f>
        <v/>
      </c>
      <c r="L69" s="47">
        <f>IF(OR(F69="",K69=""),"",F69*K69)</f>
        <v/>
      </c>
    </row>
    <row r="71" ht="34" customHeight="1">
      <c r="A71" s="19" t="inlineStr">
        <is>
          <t>終了指数の1は、その仕事を専用コア1個で走らせた時間です。波が2で指数が2.00なら、同じ長さの仕事が2回に分かれて、全体は2倍の時間です。コア比が1を超える行を灰色にしています。</t>
        </is>
      </c>
      <c r="B71" s="55" t="n"/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6" t="n"/>
    </row>
  </sheetData>
  <autoFilter ref="A4:E37"/>
  <mergeCells count="5">
    <mergeCell ref="A39:E39"/>
    <mergeCell ref="A2:L2"/>
    <mergeCell ref="A60:L60"/>
    <mergeCell ref="A71:L71"/>
    <mergeCell ref="A1:L1"/>
  </mergeCells>
  <conditionalFormatting sqref="G62:G69">
    <cfRule type="cellIs" priority="1" operator="greaterThan" dxfId="0">
      <formula>1.02</formula>
    </cfRule>
  </conditionalFormatting>
  <dataValidations count="2">
    <dataValidation sqref="C5:C12 D62:D69" showDropDown="0" showInputMessage="0" showErrorMessage="0" allowBlank="0" errorTitle="入力" error="0より大きい数を入れてください" promptTitle="入力" prompt="灰色の太枠だけを変えます" type="decimal" operator="greaterThan">
      <formula1>0</formula1>
    </dataValidation>
    <dataValidation sqref="C14:C37" showDropDown="0" showInputMessage="0" showErrorMessage="0" allowBlank="0" errorTitle="入力" error="0以上の数を入れてください" type="decimal" operator="greaterThanOrEqual">
      <formula1>0</formula1>
    </dataValidation>
  </dataValidations>
  <printOptions horizontalCentered="1"/>
  <pageMargins left="0.45" right="0.45" top="0.7" bottom="0.55" header="0.28" footer="0.28"/>
  <pageSetup orientation="landscape" paperSize="9" scale="100" fitToHeight="2" fitToWidth="1"/>
  <headerFooter>
    <oddHeader>&amp;L&amp;"Meiryo UI"&amp;9 契約管理バッチ  テーブルダンプのCPU&amp;C&amp;"Meiryo UI"&amp;9 &amp;R計算</oddHeader>
    <oddFooter>&amp;L&amp;"Meiryo UI"&amp;8 2026-10-11  インフラ所見  アラームの現行パーセントは未確認&amp;R&amp;"Meiryo UI"&amp;8 &amp;P /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555555"/>
    <outlinePr summaryBelow="1" summaryRight="1"/>
    <pageSetUpPr fitToPage="1"/>
  </sheetPr>
  <dimension ref="A1:G17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36" customWidth="1" min="1" max="1"/>
    <col width="18" customWidth="1" min="2" max="2"/>
    <col width="14" customWidth="1" min="3" max="3"/>
    <col width="14" customWidth="1" min="4" max="4"/>
    <col width="14" customWidth="1" min="5" max="5"/>
    <col width="16" customWidth="1" min="6" max="6"/>
    <col width="42" customWidth="1" min="7" max="7"/>
  </cols>
  <sheetData>
    <row r="1" ht="32" customHeight="1">
      <c r="A1" s="1" t="inlineStr">
        <is>
          <t>ITは10を8にするか。本番の58と32はどうか</t>
        </is>
      </c>
      <c r="B1" s="55" t="n"/>
      <c r="C1" s="55" t="n"/>
      <c r="D1" s="55" t="n"/>
      <c r="E1" s="55" t="n"/>
      <c r="F1" s="55" t="n"/>
      <c r="G1" s="56" t="n"/>
    </row>
    <row r="2" ht="38" customHeight="1">
      <c r="A2" s="19" t="inlineStr">
        <is>
          <t>同時JVM = min(仕事の本数, JP1マルチ) × 1ジョブのJVM。終了指数の1は、その仕事を専用コアで走らせた時間です。数字は「計算」シートのシナリオを参照しています。D列のマルチを変えると、こちらも変わります。</t>
        </is>
      </c>
      <c r="B2" s="55" t="n"/>
      <c r="C2" s="55" t="n"/>
      <c r="D2" s="55" t="n"/>
      <c r="E2" s="55" t="n"/>
      <c r="F2" s="55" t="n"/>
      <c r="G2" s="56" t="n"/>
    </row>
    <row r="4" ht="22" customHeight="1">
      <c r="A4" s="17" t="inlineStr">
        <is>
          <t>場面</t>
        </is>
      </c>
      <c r="B4" s="17" t="inlineStr">
        <is>
          <t>仕事</t>
        </is>
      </c>
      <c r="C4" s="17" t="inlineStr">
        <is>
          <t>マルチ</t>
        </is>
      </c>
      <c r="D4" s="17" t="inlineStr">
        <is>
          <t>同時JVM</t>
        </is>
      </c>
      <c r="E4" s="17" t="inlineStr">
        <is>
          <t>コア比</t>
        </is>
      </c>
      <c r="F4" s="17" t="inlineStr">
        <is>
          <t>終了指数</t>
        </is>
      </c>
      <c r="G4" s="17" t="inlineStr">
        <is>
          <t>読み</t>
        </is>
      </c>
    </row>
    <row r="5" ht="40" customHeight="1">
      <c r="A5" s="23">
        <f>計算!A62</f>
        <v/>
      </c>
      <c r="B5" s="29">
        <f>計算!B62</f>
        <v/>
      </c>
      <c r="C5" s="29">
        <f>計算!D62</f>
        <v/>
      </c>
      <c r="D5" s="21">
        <f>計算!F62</f>
        <v/>
      </c>
      <c r="E5" s="21">
        <f>計算!G62</f>
        <v/>
      </c>
      <c r="F5" s="21">
        <f>計算!I62</f>
        <v/>
      </c>
      <c r="G5" s="23">
        <f>計算!J62</f>
        <v/>
      </c>
    </row>
    <row r="6" ht="40" customHeight="1">
      <c r="A6" s="16">
        <f>計算!A63</f>
        <v/>
      </c>
      <c r="B6" s="45">
        <f>計算!B63</f>
        <v/>
      </c>
      <c r="C6" s="45">
        <f>計算!D63</f>
        <v/>
      </c>
      <c r="D6" s="24">
        <f>計算!F63</f>
        <v/>
      </c>
      <c r="E6" s="24">
        <f>計算!G63</f>
        <v/>
      </c>
      <c r="F6" s="24">
        <f>計算!I63</f>
        <v/>
      </c>
      <c r="G6" s="16">
        <f>計算!J63</f>
        <v/>
      </c>
    </row>
    <row r="7" ht="40" customHeight="1">
      <c r="A7" s="23">
        <f>計算!A64</f>
        <v/>
      </c>
      <c r="B7" s="29">
        <f>計算!B64</f>
        <v/>
      </c>
      <c r="C7" s="29">
        <f>計算!D64</f>
        <v/>
      </c>
      <c r="D7" s="21">
        <f>計算!F64</f>
        <v/>
      </c>
      <c r="E7" s="21">
        <f>計算!G64</f>
        <v/>
      </c>
      <c r="F7" s="21">
        <f>計算!I64</f>
        <v/>
      </c>
      <c r="G7" s="23">
        <f>計算!J64</f>
        <v/>
      </c>
    </row>
    <row r="8" ht="40" customHeight="1">
      <c r="A8" s="16">
        <f>計算!A65</f>
        <v/>
      </c>
      <c r="B8" s="45">
        <f>計算!B65</f>
        <v/>
      </c>
      <c r="C8" s="45">
        <f>計算!D65</f>
        <v/>
      </c>
      <c r="D8" s="24">
        <f>計算!F65</f>
        <v/>
      </c>
      <c r="E8" s="24">
        <f>計算!G65</f>
        <v/>
      </c>
      <c r="F8" s="24">
        <f>計算!I65</f>
        <v/>
      </c>
      <c r="G8" s="16">
        <f>計算!J65</f>
        <v/>
      </c>
    </row>
    <row r="9" ht="40" customHeight="1">
      <c r="A9" s="23">
        <f>計算!A66</f>
        <v/>
      </c>
      <c r="B9" s="29">
        <f>計算!B66</f>
        <v/>
      </c>
      <c r="C9" s="29">
        <f>計算!D66</f>
        <v/>
      </c>
      <c r="D9" s="21">
        <f>計算!F66</f>
        <v/>
      </c>
      <c r="E9" s="21">
        <f>計算!G66</f>
        <v/>
      </c>
      <c r="F9" s="21">
        <f>計算!I66</f>
        <v/>
      </c>
      <c r="G9" s="23">
        <f>計算!J66</f>
        <v/>
      </c>
    </row>
    <row r="10" ht="40" customHeight="1">
      <c r="A10" s="16">
        <f>計算!A67</f>
        <v/>
      </c>
      <c r="B10" s="45">
        <f>計算!B67</f>
        <v/>
      </c>
      <c r="C10" s="45">
        <f>計算!D67</f>
        <v/>
      </c>
      <c r="D10" s="24">
        <f>計算!F67</f>
        <v/>
      </c>
      <c r="E10" s="24">
        <f>計算!G67</f>
        <v/>
      </c>
      <c r="F10" s="24">
        <f>計算!I67</f>
        <v/>
      </c>
      <c r="G10" s="16">
        <f>計算!J67</f>
        <v/>
      </c>
    </row>
    <row r="11" ht="40" customHeight="1">
      <c r="A11" s="23">
        <f>計算!A68</f>
        <v/>
      </c>
      <c r="B11" s="29">
        <f>計算!B68</f>
        <v/>
      </c>
      <c r="C11" s="29">
        <f>計算!D68</f>
        <v/>
      </c>
      <c r="D11" s="21">
        <f>計算!F68</f>
        <v/>
      </c>
      <c r="E11" s="21">
        <f>計算!G68</f>
        <v/>
      </c>
      <c r="F11" s="21">
        <f>計算!I68</f>
        <v/>
      </c>
      <c r="G11" s="23">
        <f>計算!J68</f>
        <v/>
      </c>
    </row>
    <row r="12" ht="40" customHeight="1">
      <c r="A12" s="16">
        <f>計算!A69</f>
        <v/>
      </c>
      <c r="B12" s="45">
        <f>計算!B69</f>
        <v/>
      </c>
      <c r="C12" s="45">
        <f>計算!D69</f>
        <v/>
      </c>
      <c r="D12" s="24">
        <f>計算!F69</f>
        <v/>
      </c>
      <c r="E12" s="24">
        <f>計算!G69</f>
        <v/>
      </c>
      <c r="F12" s="24">
        <f>計算!I69</f>
        <v/>
      </c>
      <c r="G12" s="16">
        <f>計算!J69</f>
        <v/>
      </c>
    </row>
    <row r="14" ht="46" customHeight="1">
      <c r="A14" s="3" t="inlineStr">
        <is>
          <t>仕事が10本ちょうどなら、マルチ10の終了指数は1.25、マルチ8は2.00です。10の方が壁時計は短いです。列が80本あるなら、8でも10でも指数は10で、供給が8コアだからです。超過側は切替とGCで、実際はさらに遅くなり得ます。</t>
        </is>
      </c>
      <c r="B14" s="55" t="n"/>
      <c r="C14" s="55" t="n"/>
      <c r="D14" s="55" t="n"/>
      <c r="E14" s="55" t="n"/>
      <c r="F14" s="55" t="n"/>
      <c r="G14" s="56" t="n"/>
    </row>
    <row r="15" ht="46" customHeight="1">
      <c r="A15" s="9" t="inlineStr">
        <is>
          <t>マルチを8にしても、最初の波の全体CPUは100%近くです。90%のクリティカルは鳴ります。7にすると約88%になり、閾値次第では鳴りにくくなります。それは警報を消すための削減です。syが3.1%の今回は、台を1台空ける必要は小さいです。</t>
        </is>
      </c>
      <c r="B15" s="55" t="n"/>
      <c r="C15" s="55" t="n"/>
      <c r="D15" s="55" t="n"/>
      <c r="E15" s="55" t="n"/>
      <c r="F15" s="55" t="n"/>
      <c r="G15" s="56" t="n"/>
    </row>
    <row r="16" ht="64" customHeight="1">
      <c r="A16" s="9" t="inlineStr">
        <is>
          <t>本番は、1ジョブ1JVMならマルチ32で同時32、コア比1.00、58本は2波で終了指数2.00です。最後の26本の波は26/32で約81%なので、90%の閾値ならこの波では鳴りにくいです。最初の波では鳴ります。58同時は指数1.81ですが、GCの名札が58×23本になり、基本にしません。</t>
        </is>
      </c>
      <c r="B16" s="55" t="n"/>
      <c r="C16" s="55" t="n"/>
      <c r="D16" s="55" t="n"/>
      <c r="E16" s="55" t="n"/>
      <c r="F16" s="55" t="n"/>
      <c r="G16" s="56" t="n"/>
    </row>
    <row r="17" ht="46" customHeight="1">
      <c r="A17" s="9" t="inlineStr">
        <is>
          <t>31と32の終了指数は、58本のときは同じ2.00です。1コア空けても波の回数が変わらないからです。本番のタイプがC7a以外で、32 vCPUが物理16コア（SMTあり）なら、机の数は半分です。タイプ名を控えるまで、32を32個の本物のコアとは言い切りません。</t>
        </is>
      </c>
      <c r="B17" s="55" t="n"/>
      <c r="C17" s="55" t="n"/>
      <c r="D17" s="55" t="n"/>
      <c r="E17" s="55" t="n"/>
      <c r="F17" s="55" t="n"/>
      <c r="G17" s="56" t="n"/>
    </row>
  </sheetData>
  <mergeCells count="6">
    <mergeCell ref="A14:G14"/>
    <mergeCell ref="A1:G1"/>
    <mergeCell ref="A17:G17"/>
    <mergeCell ref="A2:G2"/>
    <mergeCell ref="A16:G16"/>
    <mergeCell ref="A15:G15"/>
  </mergeCells>
  <conditionalFormatting sqref="E5:E12">
    <cfRule type="cellIs" priority="1" operator="greaterThan" dxfId="0">
      <formula>1.02</formula>
    </cfRule>
  </conditionalFormatting>
  <printOptions horizontalCentered="1"/>
  <pageMargins left="0.45" right="0.45" top="0.7" bottom="0.55" header="0.28" footer="0.28"/>
  <pageSetup orientation="landscape" paperSize="9" scale="100" fitToHeight="1" fitToWidth="1"/>
  <headerFooter>
    <oddHeader>&amp;L&amp;"Meiryo UI"&amp;9 契約管理バッチ  テーブルダンプのCPU&amp;C&amp;"Meiryo UI"&amp;9 &amp;RITと本番</oddHeader>
    <oddFooter>&amp;L&amp;"Meiryo UI"&amp;8 2026-10-11  インフラ所見  アラームの現行パーセントは未確認&amp;R&amp;"Meiryo UI"&amp;8 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666666"/>
    <outlinePr summaryBelow="1" summaryRight="1"/>
    <pageSetUpPr fitToPage="1"/>
  </sheetPr>
  <dimension ref="A1:D18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28" customWidth="1" min="1" max="1"/>
    <col width="42" customWidth="1" min="2" max="2"/>
    <col width="42" customWidth="1" min="3" max="3"/>
    <col width="36" customWidth="1" min="4" max="4"/>
  </cols>
  <sheetData>
    <row r="1" ht="32" customHeight="1">
      <c r="A1" s="1" t="inlineStr">
        <is>
          <t>c7a.2xlarge は、8個の本物のコアを借りる計算機</t>
        </is>
      </c>
      <c r="B1" s="55" t="n"/>
      <c r="C1" s="55" t="n"/>
      <c r="D1" s="56" t="n"/>
    </row>
    <row r="2" ht="64" customHeight="1">
      <c r="A2" s="3" t="inlineStr">
        <is>
          <t>2023年10月に一般提供になったC7aです。CPUは第4世代 AMD EPYC 9R14（Genoa、Zen 4）、最大3.7 GHz、メモリはDDR5、Nitro、x86_64、常時のメモリ暗号化（AMD SME）です。AWSの製品ページは、すべてのvCPUが物理コアで、SMTは無い、と書いています。コアあたりのスレッド数は後から変えられません。</t>
        </is>
      </c>
      <c r="B2" s="55" t="n"/>
      <c r="C2" s="55" t="n"/>
      <c r="D2" s="56" t="n"/>
    </row>
    <row r="4" ht="40" customHeight="1">
      <c r="A4" s="17" t="inlineStr">
        <is>
          <t>項目</t>
        </is>
      </c>
      <c r="B4" s="17" t="inlineStr">
        <is>
          <t>c7a.2xlarge（今回のIT）</t>
        </is>
      </c>
      <c r="C4" s="17" t="inlineStr">
        <is>
          <t>同じファミリーの32 vCPU（c7a.8xlarge）</t>
        </is>
      </c>
      <c r="D4" s="17" t="inlineStr">
        <is>
          <t>今回の画面との関係</t>
        </is>
      </c>
    </row>
    <row r="5" ht="32" customHeight="1">
      <c r="A5" s="18" t="inlineStr">
        <is>
          <t>vCPU</t>
        </is>
      </c>
      <c r="B5" s="11" t="inlineStr">
        <is>
          <t>8</t>
        </is>
      </c>
      <c r="C5" s="11" t="inlineStr">
        <is>
          <t>32</t>
        </is>
      </c>
      <c r="D5" s="11" t="inlineStr">
        <is>
          <t>ITの供給は8</t>
        </is>
      </c>
    </row>
    <row r="6" ht="32" customHeight="1">
      <c r="A6" s="8" t="inlineStr">
        <is>
          <t>物理コア</t>
        </is>
      </c>
      <c r="B6" s="9" t="inlineStr">
        <is>
          <t>8</t>
        </is>
      </c>
      <c r="C6" s="9" t="inlineStr">
        <is>
          <t>32</t>
        </is>
      </c>
      <c r="D6" s="9" t="inlineStr">
        <is>
          <t>SMTで水増しした数ではない</t>
        </is>
      </c>
    </row>
    <row r="7" ht="32" customHeight="1">
      <c r="A7" s="18" t="inlineStr">
        <is>
          <t>コアあたりスレッド</t>
        </is>
      </c>
      <c r="B7" s="11" t="inlineStr">
        <is>
          <t>1</t>
        </is>
      </c>
      <c r="C7" s="11" t="inlineStr">
        <is>
          <t>1</t>
        </is>
      </c>
      <c r="D7" s="11" t="inlineStr">
        <is>
          <t>6本試行の根拠にしない</t>
        </is>
      </c>
    </row>
    <row r="8" ht="46" customHeight="1">
      <c r="A8" s="8" t="inlineStr">
        <is>
          <t>メモリ</t>
        </is>
      </c>
      <c r="B8" s="9" t="inlineStr">
        <is>
          <t>16 GiB</t>
        </is>
      </c>
      <c r="C8" s="9" t="inlineStr">
        <is>
          <t>64 GiB</t>
        </is>
      </c>
      <c r="D8" s="9" t="inlineStr">
        <is>
          <t>topは15358 MiB。公称との差約1 GiBは自然</t>
        </is>
      </c>
    </row>
    <row r="9" ht="46" customHeight="1">
      <c r="A9" s="18" t="inlineStr">
        <is>
          <t>ネットワーク</t>
        </is>
      </c>
      <c r="B9" s="11" t="inlineStr">
        <is>
          <t>基準 3.125 / 最大 12.5 Gbps</t>
        </is>
      </c>
      <c r="C9" s="11" t="inlineStr">
        <is>
          <t>12.5 Gbps を持続</t>
        </is>
      </c>
      <c r="D9" s="11" t="inlineStr">
        <is>
          <t>Up to 12.5はいつでも出る約束ではない</t>
        </is>
      </c>
    </row>
    <row r="10" ht="46" customHeight="1">
      <c r="A10" s="8" t="inlineStr">
        <is>
          <t>EBS帯域</t>
        </is>
      </c>
      <c r="B10" s="9" t="inlineStr">
        <is>
          <t>基準 2.5 / 最大 10 Gbps</t>
        </is>
      </c>
      <c r="C10" s="9" t="inlineStr">
        <is>
          <t>10 Gbps を持続</t>
        </is>
      </c>
      <c r="D10" s="9" t="inlineStr">
        <is>
          <t>基準は312.5 MB/s</t>
        </is>
      </c>
    </row>
    <row r="11" ht="46" customHeight="1">
      <c r="A11" s="18" t="inlineStr">
        <is>
          <t>EBS IOPS</t>
        </is>
      </c>
      <c r="B11" s="11" t="inlineStr">
        <is>
          <t>基準 12,000 / 最大 40,000</t>
        </is>
      </c>
      <c r="C11" s="11" t="inlineStr">
        <is>
          <t>40,000 を持続</t>
        </is>
      </c>
      <c r="D11" s="11" t="inlineStr">
        <is>
          <t>最大は少なくとも30分、24時間に1回程度</t>
        </is>
      </c>
    </row>
    <row r="12" ht="46" customHeight="1">
      <c r="A12" s="8" t="inlineStr">
        <is>
          <t>CPUクレジット</t>
        </is>
      </c>
      <c r="B12" s="9" t="inlineStr">
        <is>
          <t>なし</t>
        </is>
      </c>
      <c r="C12" s="9" t="inlineStr">
        <is>
          <t>なし</t>
        </is>
      </c>
      <c r="D12" s="9" t="inlineStr">
        <is>
          <t>100%の計算は仕事があるあいだ続けられる</t>
        </is>
      </c>
    </row>
    <row r="13" ht="32" customHeight="1">
      <c r="A13" s="18" t="inlineStr">
        <is>
          <t>ディスク</t>
        </is>
      </c>
      <c r="B13" s="11" t="inlineStr">
        <is>
          <t>EBSのみ</t>
        </is>
      </c>
      <c r="C13" s="11" t="inlineStr">
        <is>
          <t>EBSのみ</t>
        </is>
      </c>
      <c r="D13" s="11" t="inlineStr">
        <is>
          <t>インスタンスストアは無い</t>
        </is>
      </c>
    </row>
    <row r="14" ht="46" customHeight="1">
      <c r="A14" s="8" t="inlineStr">
        <is>
          <t>取り上げ</t>
        </is>
      </c>
      <c r="B14" s="9" t="inlineStr">
        <is>
          <t>Nitro。通常ほぼ0</t>
        </is>
      </c>
      <c r="C14" s="9" t="inlineStr">
        <is>
          <t>同じ</t>
        </is>
      </c>
      <c r="D14" s="9" t="inlineStr">
        <is>
          <t>今回 st は0。満額渡している</t>
        </is>
      </c>
    </row>
    <row r="15" ht="46" customHeight="1">
      <c r="A15" s="18" t="inlineStr">
        <is>
          <t>本番の確度</t>
        </is>
      </c>
      <c r="B15" s="11" t="inlineStr">
        <is>
          <t>タイプ名は提示済み</t>
        </is>
      </c>
      <c r="C15" s="11" t="inlineStr">
        <is>
          <t>32 vCPUは提示済み。タイプ名は未提示</t>
        </is>
      </c>
      <c r="D15" s="11" t="inlineStr">
        <is>
          <t>C6a等なら32 vCPUは物理16コア</t>
        </is>
      </c>
    </row>
    <row r="17" ht="82" customHeight="1">
      <c r="A17" s="11" t="inlineStr">
        <is>
          <t>vCPUが32未満のインスタンスでは、インターネットゲートウェイやローカルゲートウェイを通る複数フローは5 Gbpsが上限です。同じVPCの中の複数フローは、基準3.125からバースト12.5の側を使います。クレジットを使い切ると基準へ戻ります。持続時間はサイズによりおおよそ5分から60分で、このサイズの分数は仕様表の1本の数字ではないので書いていません。今回のクリティカルは、その前にCPUが埋まっています。</t>
        </is>
      </c>
      <c r="B17" s="55" t="n"/>
      <c r="C17" s="55" t="n"/>
      <c r="D17" s="56" t="n"/>
    </row>
    <row r="18" ht="64" customHeight="1">
      <c r="A18" s="9" t="inlineStr">
        <is>
          <t>サイズを上げるときの意味はコアだけではありません。c7a.4xlarge は16コア、32 GiB、ネットワーク基準6.25 Gbps、EBS基準625 MB/sです。c7a.8xlarge から、ネットワーク12.5 GbpsとEBS 10 Gbpsがバーストではなく持続になります。waが0の今回は、その増強の証拠にはまだなっていません。</t>
        </is>
      </c>
      <c r="B18" s="55" t="n"/>
      <c r="C18" s="55" t="n"/>
      <c r="D18" s="56" t="n"/>
    </row>
  </sheetData>
  <mergeCells count="4">
    <mergeCell ref="A1:D1"/>
    <mergeCell ref="A17:D17"/>
    <mergeCell ref="A18:D18"/>
    <mergeCell ref="A2:D2"/>
  </mergeCells>
  <printOptions horizontalCentered="1"/>
  <pageMargins left="0.45" right="0.45" top="0.7" bottom="0.55" header="0.28" footer="0.28"/>
  <pageSetup orientation="landscape" paperSize="9" scale="100" fitToHeight="1" fitToWidth="1"/>
  <headerFooter>
    <oddHeader>&amp;L&amp;"Meiryo UI"&amp;9 契約管理バッチ  テーブルダンプのCPU&amp;C&amp;"Meiryo UI"&amp;9 &amp;Rc7aの仕様</oddHeader>
    <oddFooter>&amp;L&amp;"Meiryo UI"&amp;8 2026-10-11  インフラ所見  アラームの現行パーセントは未確認&amp;R&amp;"Meiryo UI"&amp;8 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777777"/>
    <outlinePr summaryBelow="1" summaryRight="1"/>
    <pageSetUpPr fitToPage="1"/>
  </sheetPr>
  <dimension ref="A1:D13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32" customWidth="1" min="1" max="1"/>
    <col width="28" customWidth="1" min="2" max="2"/>
    <col width="28" customWidth="1" min="3" max="3"/>
    <col width="52" customWidth="1" min="4" max="4"/>
  </cols>
  <sheetData>
    <row r="1" ht="32" customHeight="1">
      <c r="A1" s="1" t="inlineStr">
        <is>
          <t>JVMは、見えるコアの数だけ手伝いを呼ぶ</t>
        </is>
      </c>
      <c r="B1" s="55" t="n"/>
      <c r="C1" s="55" t="n"/>
      <c r="D1" s="56" t="n"/>
    </row>
    <row r="2" ht="64" customHeight="1">
      <c r="A2" s="3" t="inlineStr">
        <is>
          <t>2004年のJava 5で、ゴミ出し係（GC）の人数をCPUの数から自動で決めるようになりました。当時は1台のサーバを1つのJVMが占有するのが普通で、その自動は速かったのです。今は1台にJVMが10個も32個もあります。前提が崩れています。</t>
        </is>
      </c>
      <c r="B2" s="55" t="n"/>
      <c r="C2" s="55" t="n"/>
      <c r="D2" s="56" t="n"/>
    </row>
    <row r="4" ht="22" customHeight="1">
      <c r="A4" s="17" t="inlineStr">
        <is>
          <t>場所</t>
        </is>
      </c>
      <c r="B4" s="17" t="inlineStr">
        <is>
          <t>見えるコア</t>
        </is>
      </c>
      <c r="C4" s="17" t="inlineStr">
        <is>
          <t>1JVMの並列GC</t>
        </is>
      </c>
      <c r="D4" s="17" t="inlineStr">
        <is>
          <t>同時に動かしたときの名札</t>
        </is>
      </c>
    </row>
    <row r="5" ht="24" customHeight="1">
      <c r="A5" s="20" t="inlineStr">
        <is>
          <t>IT（入力の同時JVM）</t>
        </is>
      </c>
      <c r="B5" s="49">
        <f>IT_VCPU</f>
        <v/>
      </c>
      <c r="C5" s="49">
        <f>GC_IT</f>
        <v/>
      </c>
      <c r="D5" s="23">
        <f>TEXT(IT_CONC,"0")&amp;"本 × "&amp;TEXT(GC_IT,"0")&amp;" ＝ "&amp;TEXT(GC_IT_SUM,"0")&amp;"本"</f>
        <v/>
      </c>
    </row>
    <row r="6" ht="24" customHeight="1">
      <c r="A6" s="15" t="inlineStr">
        <is>
          <t>本番（マルチで頭打ち）</t>
        </is>
      </c>
      <c r="B6" s="50">
        <f>PROD_VCPU</f>
        <v/>
      </c>
      <c r="C6" s="50">
        <f>GC_PROD</f>
        <v/>
      </c>
      <c r="D6" s="16">
        <f>TEXT(PROD_CONC,"0")&amp;"本 × "&amp;TEXT(GC_PROD,"0")&amp;" ＝ "&amp;TEXT(GC_PROD_SUM,"0")&amp;"本"</f>
        <v/>
      </c>
    </row>
    <row r="7" ht="24" customHeight="1">
      <c r="A7" s="20" t="inlineStr">
        <is>
          <t>本番を58本同時</t>
        </is>
      </c>
      <c r="B7" s="49">
        <f>PROD_VCPU</f>
        <v/>
      </c>
      <c r="C7" s="49">
        <f>GC_PROD</f>
        <v/>
      </c>
      <c r="D7" s="23">
        <f>TEXT(PROD_JOBS*PROD_PER,"0")&amp;"本 × "&amp;TEXT(GC_PROD,"0")&amp;" ＝ "&amp;TEXT(GC_58,"0")&amp;"本"</f>
        <v/>
      </c>
    </row>
    <row r="9" ht="64" customHeight="1">
      <c r="A9" s="11" t="inlineStr">
        <is>
          <t>式は、見えるCPUが8以下ならその数、8を超えると 8＋(残り×5÷8) の整数です。8コアは8、32コアは 8＋(24×5)÷8＝23 です。OpenJDKの WorkerPolicy の標準で、実機のフラグが優先します。並行GCはおおよそ4分の1で、8コアなら2本前後、23本なら5〜6本です。</t>
        </is>
      </c>
      <c r="B9" s="55" t="n"/>
      <c r="C9" s="55" t="n"/>
      <c r="D9" s="56" t="n"/>
    </row>
    <row r="10" ht="64" customHeight="1">
      <c r="A10" s="9" t="inlineStr">
        <is>
          <t>名札があることと、全員が同時に走っていることは違います。今回の1分ロード17.59は、80人全員が走った証拠にはなりません。プロセス行の125%は、本体と手伝いが1コアを少し超えた、という大きさです。ただし各JVMは、8人分の手伝いを呼べる状態ではあります。</t>
        </is>
      </c>
      <c r="B10" s="55" t="n"/>
      <c r="C10" s="55" t="n"/>
      <c r="D10" s="56" t="n"/>
    </row>
    <row r="11" ht="64" customHeight="1">
      <c r="A11" s="11" t="inlineStr">
        <is>
          <t>本番の32個の本物のコアでは、1回のゴミ出しで23人が32台を取りに来ます。マルチを32にそろえても、この人数は残ります。EC2上でJVMを直接起動していると、コンテナのCPU制限は効きません。2018年のコンテナ対応は、この構成だけでは助けになりません。</t>
        </is>
      </c>
      <c r="B11" s="55" t="n"/>
      <c r="C11" s="55" t="n"/>
      <c r="D11" s="56" t="n"/>
    </row>
    <row r="12" ht="82" customHeight="1">
      <c r="A12" s="9" t="inlineStr">
        <is>
          <t>対処は、小屋から見えるレジを1台と宣言することです。Java 10、またはJDK 8u191以降に入っていることが多い -XX:ActiveProcessorCount=1 を使います。フラグが無い古いJava 8は、ParallelGCThreads=1、ConcGCThreads=1、CICompilerCount=2 です。ヒープが小さいダンプは UseSerialGC の方が短いことがあります。どれが短いかは、ITで所要時間を1回測ってから本番へ広げます。</t>
        </is>
      </c>
      <c r="B12" s="55" t="n"/>
      <c r="C12" s="55" t="n"/>
      <c r="D12" s="56" t="n"/>
    </row>
    <row r="13" ht="46" customHeight="1">
      <c r="A13" s="11" t="inlineStr">
        <is>
          <t>このフラグを先に付ける理由は、コアを増やしてから付けると、増えたコアをまた各JVMが自分のものとして人数に使うからです。C7aで特に意味を持つのは、見えている8も32も、SMTで水増しした数ではなく本物のコアだからです。</t>
        </is>
      </c>
      <c r="B13" s="55" t="n"/>
      <c r="C13" s="55" t="n"/>
      <c r="D13" s="56" t="n"/>
    </row>
  </sheetData>
  <mergeCells count="7">
    <mergeCell ref="A1:D1"/>
    <mergeCell ref="A9:D9"/>
    <mergeCell ref="A12:D12"/>
    <mergeCell ref="A2:D2"/>
    <mergeCell ref="A11:D11"/>
    <mergeCell ref="A10:D10"/>
    <mergeCell ref="A13:D13"/>
  </mergeCells>
  <printOptions horizontalCentered="1"/>
  <pageMargins left="0.45" right="0.45" top="0.7" bottom="0.55" header="0.28" footer="0.28"/>
  <pageSetup orientation="landscape" paperSize="9" scale="100" fitToHeight="1" fitToWidth="1"/>
  <headerFooter>
    <oddHeader>&amp;L&amp;"Meiryo UI"&amp;9 契約管理バッチ  テーブルダンプのCPU&amp;C&amp;"Meiryo UI"&amp;9 &amp;RJVMの手伝い</oddHeader>
    <oddFooter>&amp;L&amp;"Meiryo UI"&amp;8 2026-10-11  インフラ所見  アラームの現行パーセントは未確認&amp;R&amp;"Meiryo UI"&amp;8 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888888"/>
    <outlinePr summaryBelow="1" summaryRight="1"/>
    <pageSetUpPr fitToPage="1"/>
  </sheetPr>
  <dimension ref="A1:C12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28" customWidth="1" min="1" max="1"/>
    <col width="22" customWidth="1" min="2" max="2"/>
    <col width="88" customWidth="1" min="3" max="3"/>
  </cols>
  <sheetData>
    <row r="1" ht="32" customHeight="1">
      <c r="A1" s="1" t="inlineStr">
        <is>
          <t>なぜ、こんな数字が生まれたか</t>
        </is>
      </c>
      <c r="B1" s="55" t="n"/>
      <c r="C1" s="56" t="n"/>
    </row>
    <row r="2" ht="46" customHeight="1">
      <c r="A2" s="3" t="inlineStr">
        <is>
          <t>物差しが3つあるのは、機械の形が変わるたびに、古い数字を残したまま新しい数字を足したからです。新しい道具が古い100%を消さなかったので、同じ瞬間に「超えた」と「超えていない」が両方とも本当になります。</t>
        </is>
      </c>
      <c r="B2" s="55" t="n"/>
      <c r="C2" s="56" t="n"/>
    </row>
    <row r="4" ht="22" customHeight="1">
      <c r="A4" s="17" t="inlineStr">
        <is>
          <t>時代</t>
        </is>
      </c>
      <c r="B4" s="17" t="inlineStr">
        <is>
          <t>いつごろ</t>
        </is>
      </c>
      <c r="C4" s="17" t="inlineStr">
        <is>
          <t>何が必要になって、何が残ったか</t>
        </is>
      </c>
    </row>
    <row r="5" ht="64" customHeight="1">
      <c r="A5" s="18" t="inlineStr">
        <is>
          <t>レジが1台</t>
        </is>
      </c>
      <c r="B5" s="11" t="inlineStr">
        <is>
          <t>1940〜1960年代</t>
        </is>
      </c>
      <c r="C5" s="11" t="inlineStr">
        <is>
          <t>コンピュータは一度に1つの仕事しかしませんでした。忙しいか暇か、です。100%が自然な上限でした。全体を0〜100で語る感覚は、ここから残っています。</t>
        </is>
      </c>
    </row>
    <row r="6" ht="82" customHeight="1">
      <c r="A6" s="8" t="inlineStr">
        <is>
          <t>大勢で1台</t>
        </is>
      </c>
      <c r="B6" s="9" t="inlineStr">
        <is>
          <t>1961年ごろ、Unixは1969年</t>
        </is>
      </c>
      <c r="C6" s="9" t="inlineStr">
        <is>
          <t>短い時間ずつCPUを分けるようになると、パーセントだけでは何人待っているか分かりません。行列の長さとしてロードアベレージが広まりました。1分、5分、15分があるのは、今とさっきを分けて見るためです。待つ人数は100%で頭打ちにできません。</t>
        </is>
      </c>
    </row>
    <row r="7" ht="64" customHeight="1">
      <c r="A7" s="18" t="inlineStr">
        <is>
          <t>夜間バッチの札</t>
        </is>
      </c>
      <c r="B7" s="11" t="inlineStr">
        <is>
          <t>1994年、JP1</t>
        </is>
      </c>
      <c r="C7" s="11" t="inlineStr">
        <is>
          <t>日立のJP1が、ジョブの順番と多重度を担うようになりました。無制限に流すとサーバもDBも潰れます。マルチは速度のつまみであると同時に、保護装置です。CPUが空いていても、DBが先に限界なら札は増やしません。</t>
        </is>
      </c>
    </row>
    <row r="8" ht="64" customHeight="1">
      <c r="A8" s="8" t="inlineStr">
        <is>
          <t>JVMが作業員を見せた</t>
        </is>
      </c>
      <c r="B8" s="9" t="inlineStr">
        <is>
          <t>Javaは1995年、OSスレッドは1998年前後</t>
        </is>
      </c>
      <c r="C8" s="9" t="inlineStr">
        <is>
          <t>最初のスレッドはJVMの中だけで、OSからは1人に見えることがありました。OSのスレッドになると、1つのjavaプロセスの表示が100%を超え始めます。今回の125%は、この延長です。</t>
        </is>
      </c>
    </row>
    <row r="9" ht="82" customHeight="1">
      <c r="A9" s="18" t="inlineStr">
        <is>
          <t>手伝いの自動</t>
        </is>
      </c>
      <c r="B9" s="11" t="inlineStr">
        <is>
          <t>Java 5、2004年</t>
        </is>
      </c>
      <c r="C9" s="11" t="inlineStr">
        <is>
          <t>パラレルGCがCPU数から人数を決めるようになりました。1台にJVMが1つ、という前提です。2018年のActiveProcessorCount（JDK 10と、8u191以降への移植）は、その前提が崩れたあとの公式のつまみです。Java 9（2017年）から標準GCはG1です。</t>
        </is>
      </c>
    </row>
    <row r="10" ht="64" customHeight="1">
      <c r="A10" s="8" t="inlineStr">
        <is>
          <t>コアが複数、CPUを借りる</t>
        </is>
      </c>
      <c r="B10" s="9" t="inlineStr">
        <is>
          <t>HTは2002年、マルチコアは2005〜2006年、EC2は2006年</t>
        </is>
      </c>
      <c r="C10" s="9" t="inlineStr">
        <is>
          <t>1台＝100%の表示を残したので、複数コアを使うと100%を超えて見えます。CloudWatch（2009年以降）は台数の違うインスタンスを比べられるよう、全体を0〜100に平均しました。topのプロセス行とは別の物差しです。</t>
        </is>
      </c>
    </row>
    <row r="11" ht="82" customHeight="1">
      <c r="A11" s="18" t="inlineStr">
        <is>
          <t>NitroとC7a</t>
        </is>
      </c>
      <c r="B11" s="11" t="inlineStr">
        <is>
          <t>Nitroは2017年、C7aは2023年10月</t>
        </is>
      </c>
      <c r="C11" s="11" t="inlineStr">
        <is>
          <t>Nitroから、借りたCPUの取り上げは通常ほぼ0です。今回のstが0なのはこの姿です。C7aはAMD Genoaを載せ、vCPUと物理コアを1対1にしました。前の世代の「8 vCPUなのに実体は4コア」を、カタログの側で無くしたタイプです。計算バッチは、AWSが用途として挙げている仕事の一つです。</t>
        </is>
      </c>
    </row>
    <row r="12" ht="64" customHeight="1">
      <c r="A12" s="8" t="inlineStr">
        <is>
          <t>アラームの見本</t>
        </is>
      </c>
      <c r="B12" s="9" t="inlineStr">
        <is>
          <t>2026年10月の公開手順にも残る</t>
        </is>
      </c>
      <c r="C12" s="9" t="inlineStr">
        <is>
          <t>CloudWatchの作例は、平均、5分、70%、2回連続です。バッチの合格点としては書かれていません。日次平均が80%を超えたらサイズを見直す、という話と、数分のピークは、同じ基準にしません。</t>
        </is>
      </c>
    </row>
  </sheetData>
  <mergeCells count="2">
    <mergeCell ref="A1:C1"/>
    <mergeCell ref="A2:C2"/>
  </mergeCells>
  <printOptions horizontalCentered="1"/>
  <pageMargins left="0.45" right="0.45" top="0.7" bottom="0.55" header="0.28" footer="0.28"/>
  <pageSetup orientation="landscape" paperSize="9" scale="100" fitToHeight="1" fitToWidth="1"/>
  <headerFooter>
    <oddHeader>&amp;L&amp;"Meiryo UI"&amp;9 契約管理バッチ  テーブルダンプのCPU&amp;C&amp;"Meiryo UI"&amp;9 &amp;R歴史</oddHeader>
    <oddFooter>&amp;L&amp;"Meiryo UI"&amp;8 2026-10-11  インフラ所見  アラームの現行パーセントは未確認&amp;R&amp;"Meiryo UI"&amp;8 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4F4F4F"/>
    <outlinePr summaryBelow="1" summaryRight="1"/>
    <pageSetUpPr fitToPage="1"/>
  </sheetPr>
  <dimension ref="A1:C17"/>
  <sheetViews>
    <sheetView showGridLines="0" view="normal" zoomScale="110" workbookViewId="0">
      <pane ySplit="5" topLeftCell="A6" activePane="bottomLeft" state="frozen"/>
      <selection pane="bottomLeft" activeCell="A1" sqref="A1"/>
    </sheetView>
  </sheetViews>
  <sheetFormatPr baseColWidth="8" defaultRowHeight="18"/>
  <cols>
    <col width="42" customWidth="1" min="1" max="1"/>
    <col width="22" customWidth="1" min="2" max="2"/>
    <col width="62" customWidth="1" min="3" max="3"/>
  </cols>
  <sheetData>
    <row r="1" ht="32" customHeight="1">
      <c r="A1" s="1" t="inlineStr">
        <is>
          <t>監視　現行のパーセントは未確認。続けるなら、こう設計する</t>
        </is>
      </c>
      <c r="B1" s="55" t="n"/>
      <c r="C1" s="56" t="n"/>
    </row>
    <row r="2" ht="64" customHeight="1">
      <c r="A2" s="3" t="inlineStr">
        <is>
          <t>EC2を作っただけでは、CPUのWarningとCriticalは付きません。CloudWatchの状態名は OK、ALARM、INSUFFICIENT_DATA です。二段の重大度は、JP1/PFM、Hinemos、Zabbix、Datadogなどの言葉です。今回クリティカルと言っている画面は、CloudWatchそのものではない可能性が高いです。公式手順の70%は作例で、現行値だと決めつけません。</t>
        </is>
      </c>
      <c r="B2" s="55" t="n"/>
      <c r="C2" s="56" t="n"/>
    </row>
    <row r="3" ht="84" customHeight="1">
      <c r="A3" s="11" t="inlineStr">
        <is>
          <t>今回の15分ロードはコアあたり0.25、5分でも0.63です。5分平均のCPUが90%を超えて鳴る形には、この1枚はまだなっていません。それなのに鳴ったなら、判定が1分か瞬間に近い、このtopは山の入り口で警報は別の長い実行、道具が平均ではなく最大か1コア＝100%を見ている、のどれかです。鳴った事実は使い切りの記録にはなります。恒常的な容量不足の証拠にはなりません。</t>
        </is>
      </c>
      <c r="B3" s="55" t="n"/>
      <c r="C3" s="56" t="n"/>
    </row>
    <row r="5" ht="22" customHeight="1">
      <c r="A5" s="17" t="inlineStr">
        <is>
          <t>条件</t>
        </is>
      </c>
      <c r="B5" s="17" t="inlineStr">
        <is>
          <t>扱い</t>
        </is>
      </c>
      <c r="C5" s="17" t="inlineStr">
        <is>
          <t>鳴ったあとの行動</t>
        </is>
      </c>
    </row>
    <row r="6" ht="28" customHeight="1">
      <c r="A6" s="51" t="inlineStr">
        <is>
          <t>全体CPUが90%を1分超えた</t>
        </is>
      </c>
      <c r="B6" s="3" t="inlineStr">
        <is>
          <t>情報。電話にしない</t>
        </is>
      </c>
      <c r="C6" s="3" t="inlineStr">
        <is>
          <t>ダンプの開始時刻と突き合わせる。今回はここ</t>
        </is>
      </c>
    </row>
    <row r="7" ht="28" customHeight="1">
      <c r="A7" s="8" t="inlineStr">
        <is>
          <t>全体CPUが95%を15分継続</t>
        </is>
      </c>
      <c r="B7" s="9" t="inlineStr">
        <is>
          <t>警告。長い使い切り</t>
        </is>
      </c>
      <c r="C7" s="9" t="inlineStr">
        <is>
          <t>処理時間とロードを見る。窓の内側なら様子見</t>
        </is>
      </c>
    </row>
    <row r="8" ht="28" customHeight="1">
      <c r="A8" s="18" t="inlineStr">
        <is>
          <t>95%が30分以上、かつ窓の外</t>
        </is>
      </c>
      <c r="B8" s="11" t="inlineStr">
        <is>
          <t>クリティカル</t>
        </is>
      </c>
      <c r="C8" s="11" t="inlineStr">
        <is>
          <t>予定外のプロセスを探す</t>
        </is>
      </c>
    </row>
    <row r="9" ht="28" customHeight="1">
      <c r="A9" s="8" t="inlineStr">
        <is>
          <t>ロード÷vCPUが2以上で15分</t>
        </is>
      </c>
      <c r="B9" s="9" t="inlineStr">
        <is>
          <t>クリティカル候補</t>
        </is>
      </c>
      <c r="C9" s="9" t="inlineStr">
        <is>
          <t>同時実行とGCスレッドを疑う</t>
        </is>
      </c>
    </row>
    <row r="10" ht="28" customHeight="1">
      <c r="A10" s="18" t="inlineStr">
        <is>
          <t>stealが5%以上で5分</t>
        </is>
      </c>
      <c r="B10" s="11" t="inlineStr">
        <is>
          <t>クリティカル</t>
        </is>
      </c>
      <c r="C10" s="11" t="inlineStr">
        <is>
          <t>タイプとホストを見る。C7aでは通常ほぼ0</t>
        </is>
      </c>
    </row>
    <row r="11" ht="28" customHeight="1">
      <c r="A11" s="8" t="inlineStr">
        <is>
          <t>スワップ使用が増える</t>
        </is>
      </c>
      <c r="B11" s="9" t="inlineStr">
        <is>
          <t>警告からクリティカル</t>
        </is>
      </c>
      <c r="C11" s="9" t="inlineStr">
        <is>
          <t>同時実行かヒープを下げる</t>
        </is>
      </c>
    </row>
    <row r="12" ht="28" customHeight="1">
      <c r="A12" s="18" t="inlineStr">
        <is>
          <t>I/O待ちが10%以上で10分</t>
        </is>
      </c>
      <c r="B12" s="11" t="inlineStr">
        <is>
          <t>警告</t>
        </is>
      </c>
      <c r="C12" s="11" t="inlineStr">
        <is>
          <t>CPUの前に、EBS基準312.5 MB/sと出力先を見る</t>
        </is>
      </c>
    </row>
    <row r="13" ht="46" customHeight="1">
      <c r="A13" s="8" t="inlineStr">
        <is>
          <t>送信が基準3.125 Gbps付近に張り付く</t>
        </is>
      </c>
      <c r="B13" s="9" t="inlineStr">
        <is>
          <t>情報から警告</t>
        </is>
      </c>
      <c r="C13" s="9" t="inlineStr">
        <is>
          <t>クレジットを使い切ったあとの天井</t>
        </is>
      </c>
    </row>
    <row r="14" ht="28" customHeight="1">
      <c r="A14" s="18" t="inlineStr">
        <is>
          <t>ジョブの所要時間が制限を超えた</t>
        </is>
      </c>
      <c r="B14" s="11" t="inlineStr">
        <is>
          <t>本来のクリティカル</t>
        </is>
      </c>
      <c r="C14" s="11" t="inlineStr">
        <is>
          <t>マルチ、GC、SQL、サイズの順に手を入れる</t>
        </is>
      </c>
    </row>
    <row r="15" ht="28" customHeight="1">
      <c r="A15" s="8" t="inlineStr">
        <is>
          <t>終了コードや出力件数が異常</t>
        </is>
      </c>
      <c r="B15" s="9" t="inlineStr">
        <is>
          <t>クリティカル</t>
        </is>
      </c>
      <c r="C15" s="9" t="inlineStr">
        <is>
          <t>CPUが正常でも、ダンプの失敗はここで拾う</t>
        </is>
      </c>
    </row>
    <row r="17" ht="52" customHeight="1">
      <c r="A17" s="52" t="inlineStr">
        <is>
          <t>控える項目は、道具の名前、メトリクス名、統計（平均か最大か）、期間、何回中何回で鳴るか、閾値、対象、1分か5分か、です。JP1側とCloudWatch側で二重に鳴っていないかも見ます。基本監視は多くの場合5分平均で、1分の山は薄まります。詳細監視は1分で、別料金です。</t>
        </is>
      </c>
      <c r="B17" s="55" t="n"/>
      <c r="C17" s="56" t="n"/>
    </row>
  </sheetData>
  <mergeCells count="4">
    <mergeCell ref="A1:C1"/>
    <mergeCell ref="A3:C3"/>
    <mergeCell ref="A2:C2"/>
    <mergeCell ref="A17:C17"/>
  </mergeCells>
  <printOptions horizontalCentered="1"/>
  <pageMargins left="0.45" right="0.45" top="0.7" bottom="0.55" header="0.28" footer="0.28"/>
  <pageSetup orientation="landscape" paperSize="9" scale="100" fitToHeight="1" fitToWidth="1"/>
  <headerFooter>
    <oddHeader>&amp;L&amp;"Meiryo UI"&amp;9 契約管理バッチ  テーブルダンプのCPU&amp;C&amp;"Meiryo UI"&amp;9 &amp;R監視</oddHeader>
    <oddFooter>&amp;L&amp;"Meiryo UI"&amp;8 2026-10-11  インフラ所見  アラームの現行パーセントは未確認&amp;R&amp;"Meiryo UI"&amp;8 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3F3F3F"/>
    <outlinePr summaryBelow="1" summaryRight="1"/>
    <pageSetUpPr fitToPage="1"/>
  </sheetPr>
  <dimension ref="A1:C26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10" customWidth="1" min="1" max="1"/>
    <col width="42" customWidth="1" min="2" max="2"/>
    <col width="78" customWidth="1" min="3" max="3"/>
  </cols>
  <sheetData>
    <row r="1" ht="32" customHeight="1">
      <c r="A1" s="1" t="inlineStr">
        <is>
          <t>手を入れる順番</t>
        </is>
      </c>
      <c r="B1" s="55" t="n"/>
      <c r="C1" s="56" t="n"/>
    </row>
    <row r="2" ht="46" customHeight="1">
      <c r="A2" s="3" t="inlineStr">
        <is>
          <t>3と4を飛ばして、タイプ変更へ行かないでください。手伝いが多すぎる状態のままコアを増やすと、増えたコアを、また各JVMが自分のものとして人数に使います。</t>
        </is>
      </c>
      <c r="B2" s="55" t="n"/>
      <c r="C2" s="56" t="n"/>
    </row>
    <row r="4" ht="22" customHeight="1">
      <c r="A4" s="17" t="inlineStr">
        <is>
          <t>順</t>
        </is>
      </c>
      <c r="B4" s="17" t="inlineStr">
        <is>
          <t>やること</t>
        </is>
      </c>
      <c r="C4" s="17" t="inlineStr">
        <is>
          <t>理由</t>
        </is>
      </c>
    </row>
    <row r="5" ht="46" customHeight="1">
      <c r="A5" s="53" t="inlineStr">
        <is>
          <t>1</t>
        </is>
      </c>
      <c r="B5" s="18" t="inlineStr">
        <is>
          <t>この1回を、容量不足の障害にしない</t>
        </is>
      </c>
      <c r="C5" s="11" t="inlineStr">
        <is>
          <t>再起動やタイプ変更を、この画面だけを理由にしない</t>
        </is>
      </c>
    </row>
    <row r="6" ht="46" customHeight="1">
      <c r="A6" s="53" t="inlineStr">
        <is>
          <t>2</t>
        </is>
      </c>
      <c r="B6" s="8" t="inlineStr">
        <is>
          <t>監視の物差しを揃える</t>
        </is>
      </c>
      <c r="C6" s="9" t="inlineStr">
        <is>
          <t>全体の0〜100か、1コア＝100%か、コア合計かを、画面の単位で記録する</t>
        </is>
      </c>
    </row>
    <row r="7" ht="46" customHeight="1">
      <c r="A7" s="53" t="inlineStr">
        <is>
          <t>3</t>
        </is>
      </c>
      <c r="B7" s="18" t="inlineStr">
        <is>
          <t>ITのJP1マルチは、継続運用の基準を8にする</t>
        </is>
      </c>
      <c r="C7" s="11" t="inlineStr">
        <is>
          <t>仕事が10本前後だけなら、終了時刻を見て10を残してよい。8と10を1回ずつ測る</t>
        </is>
      </c>
    </row>
    <row r="8" ht="46" customHeight="1">
      <c r="A8" s="53" t="inlineStr">
        <is>
          <t>4</t>
        </is>
      </c>
      <c r="B8" s="8" t="inlineStr">
        <is>
          <t>JVMに、見えるCPUを1台と宣言して測る</t>
        </is>
      </c>
      <c r="C8" s="9" t="inlineStr">
        <is>
          <t>ActiveProcessorCount=1。本番へ広げる前にITで所要時間を比べる</t>
        </is>
      </c>
    </row>
    <row r="9" ht="46" customHeight="1">
      <c r="A9" s="53" t="inlineStr">
        <is>
          <t>5</t>
        </is>
      </c>
      <c r="B9" s="18" t="inlineStr">
        <is>
          <t>警報をバッチ向けに付け替える</t>
        </is>
      </c>
      <c r="C9" s="11" t="inlineStr">
        <is>
          <t>短時間のCPU 90%をクリティカルから外す。本数を7に落として警報を避けない</t>
        </is>
      </c>
    </row>
    <row r="10" ht="46" customHeight="1">
      <c r="A10" s="53" t="inlineStr">
        <is>
          <t>6</t>
        </is>
      </c>
      <c r="B10" s="8" t="inlineStr">
        <is>
          <t>本番の空欄を埋める</t>
        </is>
      </c>
      <c r="C10" s="9" t="inlineStr">
        <is>
          <t>タイプ名、32 vCPUが32物理コアか、JDK、58が母数か同時本数か、ヒープ、DBのCPU</t>
        </is>
      </c>
    </row>
    <row r="11" ht="32" customHeight="1">
      <c r="A11" s="53" t="inlineStr">
        <is>
          <t>7</t>
        </is>
      </c>
      <c r="B11" s="18" t="inlineStr">
        <is>
          <t>本番のマルチは32を起点にする</t>
        </is>
      </c>
      <c r="C11" s="11" t="inlineStr">
        <is>
          <t>1ジョブ1JVMと確認できてから。58同時にはしない</t>
        </is>
      </c>
    </row>
    <row r="12" ht="46" customHeight="1">
      <c r="A12" s="53" t="inlineStr">
        <is>
          <t>8</t>
        </is>
      </c>
      <c r="B12" s="8" t="inlineStr">
        <is>
          <t>それでも窓を超えるなら、vCPUとマルチを同じ数で増やす</t>
        </is>
      </c>
      <c r="C12" s="9" t="inlineStr">
        <is>
          <t>帯域が先に頭打ちなら、基準が持続になる c7a.8xlarge を候補にする</t>
        </is>
      </c>
    </row>
    <row r="13" ht="46" customHeight="1">
      <c r="A13" s="53" t="inlineStr">
        <is>
          <t>9</t>
        </is>
      </c>
      <c r="B13" s="18" t="inlineStr">
        <is>
          <t>一番長い1本が全体を支配するなら、その処理を分ける</t>
        </is>
      </c>
      <c r="C13" s="11" t="inlineStr">
        <is>
          <t>1本は1コアまでしか使えない。本数を上げても、その1本の時間は縮まない</t>
        </is>
      </c>
    </row>
    <row r="15" ht="22" customHeight="1">
      <c r="A15" s="10" t="inlineStr">
        <is>
          <t>次に取る記録（開始直前、開始1分後、ピーク、終了直後の4点）</t>
        </is>
      </c>
      <c r="B15" s="55" t="n"/>
      <c r="C15" s="56" t="n"/>
    </row>
    <row r="16" ht="20" customHeight="1">
      <c r="A16" s="17" t="inlineStr">
        <is>
          <t>目的</t>
        </is>
      </c>
      <c r="B16" s="17" t="inlineStr">
        <is>
          <t>例</t>
        </is>
      </c>
      <c r="C16" s="17" t="inlineStr">
        <is>
          <t>合格の目安</t>
        </is>
      </c>
    </row>
    <row r="17" ht="28" customHeight="1">
      <c r="A17" s="54" t="inlineStr">
        <is>
          <t>論理CPUとコア</t>
        </is>
      </c>
      <c r="B17" s="54" t="inlineStr">
        <is>
          <t>nproc と lscpu</t>
        </is>
      </c>
      <c r="C17" s="54" t="inlineStr">
        <is>
          <t>ITならCPU 8、Thread(s) per core 1。C7aの仕様と一致する</t>
        </is>
      </c>
    </row>
    <row r="18" ht="46" customHeight="1">
      <c r="A18" s="9" t="inlineStr">
        <is>
          <t>タイプ名</t>
        </is>
      </c>
      <c r="B18" s="9" t="inlineStr">
        <is>
          <t>EC2コンソール</t>
        </is>
      </c>
      <c r="C18" s="9" t="inlineStr">
        <is>
          <t>ITは c7a.2xlarge。本番は32 vCPUの行をファミリー名ごと控える</t>
        </is>
      </c>
    </row>
    <row r="19" ht="28" customHeight="1">
      <c r="A19" s="54" t="inlineStr">
        <is>
          <t>コアごとのCPU</t>
        </is>
      </c>
      <c r="B19" s="54" t="inlineStr">
        <is>
          <t>mpstat -P ALL 1 30</t>
        </is>
      </c>
      <c r="C19" s="54" t="inlineStr">
        <is>
          <t>usrが高い。iowaitとstealは低い。1コアだけ100%なら話が別</t>
        </is>
      </c>
    </row>
    <row r="20" ht="28" customHeight="1">
      <c r="A20" s="9" t="inlineStr">
        <is>
          <t>JVMの認識</t>
        </is>
      </c>
      <c r="B20" s="9" t="inlineStr">
        <is>
          <t>jcmd &lt;pid&gt; VM.flags</t>
        </is>
      </c>
      <c r="C20" s="9" t="inlineStr">
        <is>
          <t>フラグのあと ParallelGCThreads が1になる</t>
        </is>
      </c>
    </row>
    <row r="21" ht="28" customHeight="1">
      <c r="A21" s="54" t="inlineStr">
        <is>
          <t>Javaの版</t>
        </is>
      </c>
      <c r="B21" s="54" t="inlineStr">
        <is>
          <t>java -version</t>
        </is>
      </c>
      <c r="C21" s="54" t="inlineStr">
        <is>
          <t>8u191以降か11以降なら、見えるCPUの宣言がしやすい</t>
        </is>
      </c>
    </row>
    <row r="22" ht="46" customHeight="1">
      <c r="A22" s="9" t="inlineStr">
        <is>
          <t>実同時数</t>
        </is>
      </c>
      <c r="B22" s="9" t="inlineStr">
        <is>
          <t>JP1の実行中一覧と java の本数</t>
        </is>
      </c>
      <c r="C22" s="9" t="inlineStr">
        <is>
          <t>ピークの本数が、マルチ × 1ジョブのJVM と一致するか。58はキューか同時か</t>
        </is>
      </c>
    </row>
    <row r="23" ht="46" customHeight="1">
      <c r="A23" s="54" t="inlineStr">
        <is>
          <t>ディスクと通信</t>
        </is>
      </c>
      <c r="B23" s="54" t="inlineStr">
        <is>
          <t>iostat と送信レート</t>
        </is>
      </c>
      <c r="C23" s="54" t="inlineStr">
        <is>
          <t>張り付くなら基準 312.5 MB/s や 3.125 Gbps。今回のCPUの説明には使わない</t>
        </is>
      </c>
    </row>
    <row r="24" ht="46" customHeight="1">
      <c r="A24" s="9" t="inlineStr">
        <is>
          <t>所要時間とDB</t>
        </is>
      </c>
      <c r="B24" s="9" t="inlineStr">
        <is>
          <t>ジョブ実績、DBのCPU</t>
        </is>
      </c>
      <c r="C24" s="9" t="inlineStr">
        <is>
          <t>増強判断は所要時間を入力にする。DBが先に頭打ちなら札は増やさない</t>
        </is>
      </c>
    </row>
    <row r="26" ht="20" customHeight="1">
      <c r="A26" s="19" t="inlineStr">
        <is>
          <t>コマンドは確認のための例です。本番の変更手順ではありません。</t>
        </is>
      </c>
      <c r="B26" s="55" t="n"/>
      <c r="C26" s="56" t="n"/>
    </row>
  </sheetData>
  <mergeCells count="4">
    <mergeCell ref="A1:C1"/>
    <mergeCell ref="A26:C26"/>
    <mergeCell ref="A2:C2"/>
    <mergeCell ref="A15:C15"/>
  </mergeCells>
  <printOptions horizontalCentered="1"/>
  <pageMargins left="0.45" right="0.45" top="0.7" bottom="0.55" header="0.28" footer="0.28"/>
  <pageSetup orientation="landscape" paperSize="9" scale="100" fitToHeight="1" fitToWidth="1"/>
  <headerFooter>
    <oddHeader>&amp;L&amp;"Meiryo UI"&amp;9 契約管理バッチ  テーブルダンプのCPU&amp;C&amp;"Meiryo UI"&amp;9 &amp;R対策</oddHeader>
    <oddFooter>&amp;L&amp;"Meiryo UI"&amp;8 2026-10-11  インフラ所見  アラームの現行パーセントは未確認&amp;R&amp;"Meiryo UI"&amp;8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707070"/>
    <outlinePr summaryBelow="1" summaryRight="1"/>
    <pageSetUpPr fitToPage="1"/>
  </sheetPr>
  <dimension ref="A1:C21"/>
  <sheetViews>
    <sheetView showGridLines="0" view="normal" zoomScale="110" workbookViewId="0">
      <pane ySplit="3" topLeftCell="A4" activePane="bottomLeft" state="frozen"/>
      <selection pane="bottomLeft" activeCell="A1" sqref="A1"/>
    </sheetView>
  </sheetViews>
  <sheetFormatPr baseColWidth="8" defaultRowHeight="18"/>
  <cols>
    <col width="32" customWidth="1" min="1" max="1"/>
    <col width="42" customWidth="1" min="2" max="2"/>
    <col width="64" customWidth="1" min="3" max="3"/>
  </cols>
  <sheetData>
    <row r="1" ht="32" customHeight="1">
      <c r="A1" s="1" t="inlineStr">
        <is>
          <t>用語　まずこう読む</t>
        </is>
      </c>
      <c r="B1" s="55" t="n"/>
      <c r="C1" s="56" t="n"/>
    </row>
    <row r="3" ht="22" customHeight="1">
      <c r="A3" s="17" t="inlineStr">
        <is>
          <t>用語</t>
        </is>
      </c>
      <c r="B3" s="17" t="inlineStr">
        <is>
          <t>まずこう読む</t>
        </is>
      </c>
      <c r="C3" s="17" t="inlineStr">
        <is>
          <t>もう一段</t>
        </is>
      </c>
    </row>
    <row r="4" ht="46" customHeight="1">
      <c r="A4" s="18" t="inlineStr">
        <is>
          <t>vCPU</t>
        </is>
      </c>
      <c r="B4" s="11" t="inlineStr">
        <is>
          <t>借りているレジの台数</t>
        </is>
      </c>
      <c r="C4" s="11" t="inlineStr">
        <is>
          <t>C7aでは物理コア1個。C6a以前の多くは、コア1個を2つのvCPUに見せていた</t>
        </is>
      </c>
    </row>
    <row r="5" ht="46" customHeight="1">
      <c r="A5" s="8" t="inlineStr">
        <is>
          <t>SMT</t>
        </is>
      </c>
      <c r="B5" s="9" t="inlineStr">
        <is>
          <t>1つのコアで作業員を2人走らせる仕組み</t>
        </is>
      </c>
      <c r="C5" s="9" t="inlineStr">
        <is>
          <t>C7aには無い。Intelの製品名ではハイパースレッディング</t>
        </is>
      </c>
    </row>
    <row r="6" ht="28" customHeight="1">
      <c r="A6" s="18" t="inlineStr">
        <is>
          <t>JVM</t>
        </is>
      </c>
      <c r="B6" s="11" t="inlineStr">
        <is>
          <t>会計係がいる小屋</t>
        </is>
      </c>
      <c r="C6" s="11" t="inlineStr">
        <is>
          <t>javaプロセス。ヒープ、GC、JITを自分で持つ</t>
        </is>
      </c>
    </row>
    <row r="7" ht="46" customHeight="1">
      <c r="A7" s="8" t="inlineStr">
        <is>
          <t>スレッド</t>
        </is>
      </c>
      <c r="B7" s="9" t="inlineStr">
        <is>
          <t>小屋の中の作業員</t>
        </is>
      </c>
      <c r="C7" s="9" t="inlineStr">
        <is>
          <t>OSが順番を割り当てる単位。ロードはこちらを数える</t>
        </is>
      </c>
    </row>
    <row r="8" ht="46" customHeight="1">
      <c r="A8" s="18" t="inlineStr">
        <is>
          <t>GC</t>
        </is>
      </c>
      <c r="B8" s="11" t="inlineStr">
        <is>
          <t>使った紙を集めて机を空ける係</t>
        </is>
      </c>
      <c r="C8" s="11" t="inlineStr">
        <is>
          <t>人数は見えるCPUから自動で決まる。8コアなら最大8、32コアなら23</t>
        </is>
      </c>
    </row>
    <row r="9" ht="46" customHeight="1">
      <c r="A9" s="8" t="inlineStr">
        <is>
          <t>JIT</t>
        </is>
      </c>
      <c r="B9" s="9" t="inlineStr">
        <is>
          <t>繰り返しの計算を速い手順に書き直す係</t>
        </is>
      </c>
      <c r="C9" s="9" t="inlineStr">
        <is>
          <t>起動直後にCPUを使う。ロードが1分だけ高い理由の一つ</t>
        </is>
      </c>
    </row>
    <row r="10" ht="46" customHeight="1">
      <c r="A10" s="18" t="inlineStr">
        <is>
          <t>マルチ</t>
        </is>
      </c>
      <c r="B10" s="11" t="inlineStr">
        <is>
          <t>同時に店へ入れる人数の札</t>
        </is>
      </c>
      <c r="C10" s="11" t="inlineStr">
        <is>
          <t>JP1の多重度。JVM数とは別のつまみ。速度と保護の両方</t>
        </is>
      </c>
    </row>
    <row r="11" ht="46" customHeight="1">
      <c r="A11" s="8" t="inlineStr">
        <is>
          <t>ロードアベレージ</t>
        </is>
      </c>
      <c r="B11" s="9" t="inlineStr">
        <is>
          <t>会計したい人数の指数平均</t>
        </is>
      </c>
      <c r="C11" s="9" t="inlineStr">
        <is>
          <t>割合ではない。コア数と比べる。1分、5分、15分がある</t>
        </is>
      </c>
    </row>
    <row r="12" ht="28" customHeight="1">
      <c r="A12" s="18" t="inlineStr">
        <is>
          <t>us</t>
        </is>
      </c>
      <c r="B12" s="11" t="inlineStr">
        <is>
          <t>アプリが計算している時間</t>
        </is>
      </c>
      <c r="C12" s="11" t="inlineStr">
        <is>
          <t>今回95.9%</t>
        </is>
      </c>
    </row>
    <row r="13" ht="46" customHeight="1">
      <c r="A13" s="8" t="inlineStr">
        <is>
          <t>wa</t>
        </is>
      </c>
      <c r="B13" s="9" t="inlineStr">
        <is>
          <t>倉庫を待ってレジが手を止めている時間</t>
        </is>
      </c>
      <c r="C13" s="9" t="inlineStr">
        <is>
          <t>今回0%。CPU不足ではないときのサイン</t>
        </is>
      </c>
    </row>
    <row r="14" ht="28" customHeight="1">
      <c r="A14" s="18" t="inlineStr">
        <is>
          <t>st</t>
        </is>
      </c>
      <c r="B14" s="11" t="inlineStr">
        <is>
          <t>大家がレジを他店へ回した時間</t>
        </is>
      </c>
      <c r="C14" s="11" t="inlineStr">
        <is>
          <t>今回0%。貸与は満額</t>
        </is>
      </c>
    </row>
    <row r="15" ht="46" customHeight="1">
      <c r="A15" s="8" t="inlineStr">
        <is>
          <t>available</t>
        </is>
      </c>
      <c r="B15" s="9" t="inlineStr">
        <is>
          <t>本当に使える机</t>
        </is>
      </c>
      <c r="C15" s="9" t="inlineStr">
        <is>
          <t>freeに、戻せるキャッシュを足した実用値。今回約64%</t>
        </is>
      </c>
    </row>
    <row r="16" ht="46" customHeight="1">
      <c r="A16" s="18" t="inlineStr">
        <is>
          <t>buff/cache</t>
        </is>
      </c>
      <c r="B16" s="11" t="inlineStr">
        <is>
          <t>もう一度使うかもしれない下書き</t>
        </is>
      </c>
      <c r="C16" s="11" t="inlineStr">
        <is>
          <t>空きが必要なら返せる。freeが少なくても不足とは限らない</t>
        </is>
      </c>
    </row>
    <row r="17" ht="46" customHeight="1">
      <c r="A17" s="8" t="inlineStr">
        <is>
          <t>swap</t>
        </is>
      </c>
      <c r="B17" s="9" t="inlineStr">
        <is>
          <t>机が足りず書類を遠い倉庫へ移すこと</t>
        </is>
      </c>
      <c r="C17" s="9" t="inlineStr">
        <is>
          <t>今回ほぼ未使用。領域があること自体は問題ではない</t>
        </is>
      </c>
    </row>
    <row r="18" ht="46" customHeight="1">
      <c r="A18" s="18" t="inlineStr">
        <is>
          <t>ActiveProcessorCount</t>
        </is>
      </c>
      <c r="B18" s="11" t="inlineStr">
        <is>
          <t>この小屋から見えるレジの数を宣言する札</t>
        </is>
      </c>
      <c r="C18" s="11" t="inlineStr">
        <is>
          <t>複数JVMで1台を共有するためのフラグ。1を指定する</t>
        </is>
      </c>
    </row>
    <row r="19" ht="28" customHeight="1">
      <c r="A19" s="8" t="inlineStr">
        <is>
          <t>CPUUtilization</t>
        </is>
      </c>
      <c r="B19" s="9" t="inlineStr">
        <is>
          <t>AWSが配る、全体の0〜100</t>
        </is>
      </c>
      <c r="C19" s="9" t="inlineStr">
        <is>
          <t>100が上限。プロセス行の125%とは別</t>
        </is>
      </c>
    </row>
    <row r="20" ht="46" customHeight="1">
      <c r="A20" s="18" t="inlineStr">
        <is>
          <t>ネットワークの基準</t>
        </is>
      </c>
      <c r="B20" s="11" t="inlineStr">
        <is>
          <t>クレジット無しで維持できる通信の太さ</t>
        </is>
      </c>
      <c r="C20" s="11" t="inlineStr">
        <is>
          <t>c7a.2xlarge は 3.125 Gbps。12.5はバーストの上限</t>
        </is>
      </c>
    </row>
    <row r="21" ht="28" customHeight="1">
      <c r="A21" s="8" t="inlineStr">
        <is>
          <t>EBSの基準</t>
        </is>
      </c>
      <c r="B21" s="9" t="inlineStr">
        <is>
          <t>ディスクで維持できる太さ</t>
        </is>
      </c>
      <c r="C21" s="9" t="inlineStr">
        <is>
          <t>c7a.2xlarge は 312.5 MB/s。最大はおよそ30分</t>
        </is>
      </c>
    </row>
  </sheetData>
  <autoFilter ref="A3:C21"/>
  <mergeCells count="1">
    <mergeCell ref="A1:C1"/>
  </mergeCells>
  <printOptions horizontalCentered="1"/>
  <pageMargins left="0.45" right="0.45" top="0.7" bottom="0.55" header="0.28" footer="0.28"/>
  <pageSetup orientation="landscape" paperSize="9" scale="100" fitToHeight="1" fitToWidth="1"/>
  <headerFooter>
    <oddHeader>&amp;L&amp;"Meiryo UI"&amp;9 契約管理バッチ  テーブルダンプのCPU&amp;C&amp;"Meiryo UI"&amp;9 &amp;R用語</oddHeader>
    <oddFooter>&amp;L&amp;"Meiryo UI"&amp;8 2026-10-11  インフラ所見  アラームの現行パーセントは未確認&amp;R&amp;"Meiryo UI"&amp;8 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585858"/>
    <outlinePr summaryBelow="1" summaryRight="1"/>
    <pageSetUpPr fitToPage="1"/>
  </sheetPr>
  <dimension ref="A1:B16"/>
  <sheetViews>
    <sheetView showGridLines="0" view="normal" zoomScale="110" workbookViewId="0">
      <pane ySplit="3" topLeftCell="A4" activePane="bottomLeft" state="frozen"/>
      <selection pane="bottomLeft" activeCell="A1" sqref="A1"/>
    </sheetView>
  </sheetViews>
  <sheetFormatPr baseColWidth="8" defaultRowHeight="18"/>
  <cols>
    <col width="24" customWidth="1" min="1" max="1"/>
    <col width="114" customWidth="1" min="2" max="2"/>
  </cols>
  <sheetData>
    <row r="1" ht="32" customHeight="1">
      <c r="A1" s="1" t="inlineStr">
        <is>
          <t>見ていないものと、数値の出所</t>
        </is>
      </c>
      <c r="B1" s="56" t="n"/>
    </row>
    <row r="3" ht="22" customHeight="1">
      <c r="A3" s="17" t="inlineStr">
        <is>
          <t>種類</t>
        </is>
      </c>
      <c r="B3" s="17" t="inlineStr">
        <is>
          <t>内容</t>
        </is>
      </c>
    </row>
    <row r="4" ht="28" customHeight="1">
      <c r="A4" s="18" t="inlineStr">
        <is>
          <t>未確認</t>
        </is>
      </c>
      <c r="B4" s="11" t="inlineStr">
        <is>
          <t>アラームの現行パーセント。議事録に、仮の70や90を現行値として書かない。</t>
        </is>
      </c>
    </row>
    <row r="5" ht="46" customHeight="1">
      <c r="A5" s="8" t="inlineStr">
        <is>
          <t>未確認</t>
        </is>
      </c>
      <c r="B5" s="9" t="inlineStr">
        <is>
          <t>本番のインスタンスタイプ名。32 vCPUをC7aと仮定した行は c7a.8xlarge の仕様。C6a等なら物理コアは半分。</t>
        </is>
      </c>
    </row>
    <row r="6" ht="28" customHeight="1">
      <c r="A6" s="18" t="inlineStr">
        <is>
          <t>未確認</t>
        </is>
      </c>
      <c r="B6" s="11" t="inlineStr">
        <is>
          <t>JDK、ヒープ、ダンプの所要時間、圧縮の有無、出力先、DBのCPU。</t>
        </is>
      </c>
    </row>
    <row r="7" ht="46" customHeight="1">
      <c r="A7" s="8" t="inlineStr">
        <is>
          <t>式の上限</t>
        </is>
      </c>
      <c r="B7" s="9" t="inlineStr">
        <is>
          <t>GCの8や23は標準の式による名札の最大。実機のフラグが優先する。ロード17.59は、その最大が同時に走った証拠ではない。</t>
        </is>
      </c>
    </row>
    <row r="8" ht="46" customHeight="1">
      <c r="A8" s="18" t="inlineStr">
        <is>
          <t>算数の前提</t>
        </is>
      </c>
      <c r="B8" s="11" t="inlineStr">
        <is>
          <t>終了指数は、仕事の長さが同じ、オーバーヘッドがゼロ、1仕事は1コアまで、という場合。マルチをコアより大きくした行は、この指数より悪くなり得る。</t>
        </is>
      </c>
    </row>
    <row r="9" ht="46" customHeight="1">
      <c r="A9" s="8" t="inlineStr">
        <is>
          <t>推定</t>
        </is>
      </c>
      <c r="B9" s="9" t="inlineStr">
        <is>
          <t>約1分前に立ち上がった、はロードの指数平均を単純な段差に戻した推定。計測器の経過時間ではない。</t>
        </is>
      </c>
    </row>
    <row r="10" ht="46" customHeight="1">
      <c r="A10" s="18" t="inlineStr">
        <is>
          <t>画面の外側</t>
        </is>
      </c>
      <c r="B10" s="11" t="inlineStr">
        <is>
          <t>DB、EBSの終盤、ネットワークのクレジット残量は、この1画面の外。free＋used＋buff/cache は総量と約340 MiBずれる。判断には available を使う。</t>
        </is>
      </c>
    </row>
    <row r="11" ht="46" customHeight="1">
      <c r="A11" s="8" t="inlineStr">
        <is>
          <t>出典</t>
        </is>
      </c>
      <c r="B11" s="9" t="inlineStr">
        <is>
          <t>AWS C7a製品ページ。vCPUが物理コアであること、SMTが無いこと、プロセッサが第4世代 AMD EPYC であること。2026年10月に公開ページを確認。</t>
        </is>
      </c>
    </row>
    <row r="12" ht="64" customHeight="1">
      <c r="A12" s="18" t="inlineStr">
        <is>
          <t>出典</t>
        </is>
      </c>
      <c r="B12" s="11" t="inlineStr">
        <is>
          <t>Amazon EC2 Instance Types、Compute optimized。c7a.2xlarge は8 vCPU、8コア、スレッド1、16 GiB。ネットワーク 3.125/12.5 Gbps。EBS 2500/10000 Mbps、312.5/1250 MB/s、12000/40000 IOPS。</t>
        </is>
      </c>
    </row>
    <row r="13" ht="64" customHeight="1">
      <c r="A13" s="8" t="inlineStr">
        <is>
          <t>出典</t>
        </is>
      </c>
      <c r="B13" s="9" t="inlineStr">
        <is>
          <t>同表の注記。ネットワークの1は基準とI/Oクレジットによるバースト。EBSの1は最大性能を少なくとも30分、24時間に1回程度。c7a.8xlarge は32コア、64 GiB、ネットワーク12.5 Gbps持続、EBS 10 Gbps持続。</t>
        </is>
      </c>
    </row>
    <row r="14" ht="46" customHeight="1">
      <c r="A14" s="18" t="inlineStr">
        <is>
          <t>出典</t>
        </is>
      </c>
      <c r="B14" s="11" t="inlineStr">
        <is>
          <t>EC2 User Guide、instance network bandwidth。32 vCPU未満は、インターネットゲートウェイ等を通る複数フローが5 Gbps上限。クレジットの持続はおおよそ5〜60分。</t>
        </is>
      </c>
    </row>
    <row r="15" ht="46" customHeight="1">
      <c r="A15" s="8" t="inlineStr">
        <is>
          <t>出典</t>
        </is>
      </c>
      <c r="B15" s="9" t="inlineStr">
        <is>
          <t>EC2 User Guide、CPU options。C7aはコアあたりスレッド数を変更できない。CloudWatchのCPUUtilizationは0〜100。アラーム手順の70%・5分・2回は作例。</t>
        </is>
      </c>
    </row>
    <row r="16" ht="28" customHeight="1">
      <c r="A16" s="18" t="inlineStr">
        <is>
          <t>出典</t>
        </is>
      </c>
      <c r="B16" s="11" t="inlineStr">
        <is>
          <t>OpenJDK WorkerPolicy。見えるCPUが8以下ならその数、超えると 8＋(n−8)×5/8。</t>
        </is>
      </c>
    </row>
  </sheetData>
  <mergeCells count="1">
    <mergeCell ref="A1:B1"/>
  </mergeCells>
  <printOptions horizontalCentered="1"/>
  <pageMargins left="0.45" right="0.45" top="0.7" bottom="0.55" header="0.28" footer="0.28"/>
  <pageSetup orientation="landscape" paperSize="9" scale="100" fitToHeight="1" fitToWidth="1"/>
  <headerFooter>
    <oddHeader>&amp;L&amp;"Meiryo UI"&amp;9 契約管理バッチ  テーブルダンプのCPU&amp;C&amp;"Meiryo UI"&amp;9 &amp;R限界と出典</oddHeader>
    <oddFooter>&amp;L&amp;"Meiryo UI"&amp;8 2026-10-11  インフラ所見  アラームの現行パーセントは未確認&amp;R&amp;"Meiryo UI"&amp;8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インフラ所見</dc:creator>
  <dc:title xmlns:dc="http://purl.org/dc/elements/1.1/">契約管理バッチ CPU高負荷の見方</dc:title>
  <dc:description xmlns:dc="http://purl.org/dc/elements/1.1/">2026-10-11 修正版。c7aはSMTなし。アラーム現行値は未確認。</dc:description>
  <dc:subject xmlns:dc="http://purl.org/dc/elements/1.1/">c7a.2xlarge テーブルダンプ時のCPUクリティカル</dc:subject>
  <dcterms:created xmlns:dcterms="http://purl.org/dc/terms/" xmlns:xsi="http://www.w3.org/2001/XMLSchema-instance" xsi:type="dcterms:W3CDTF">2026-10-11T00:49:52Z</dcterms:created>
  <dcterms:modified xmlns:dcterms="http://purl.org/dc/terms/" xmlns:xsi="http://www.w3.org/2001/XMLSchema-instance" xsi:type="dcterms:W3CDTF">2026-10-11T00:50:02Z</dcterms:modified>
</cp:coreProperties>
</file>